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d3223446a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" sheetId="1" r:id="Rf24798f51037425e"/>
    <x:sheet xmlns:r="http://schemas.openxmlformats.org/officeDocument/2006/relationships" name="Hitos" sheetId="2" r:id="Rf57b76a2be8841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333333"/>
      <x:name val="Carlito"/>
    </x:font>
    <x:font>
      <x:b/>
      <x:sz val="11"/>
      <x:color rgb="FFFFFFFF"/>
      <x:name val="Carlito"/>
    </x:font>
    <x:font>
      <x:sz val="10"/>
      <x:name val="Carlito"/>
    </x:font>
    <x:font>
      <x:sz val="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EDB120"/>
      </x:patternFill>
    </x:fill>
    <x:fill>
      <x:patternFill patternType="solid">
        <x:fgColor rgb="FFC55A11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horizont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5" fillId="0" borderId="10" xfId="0" applyNumberFormat="1" applyFont="1" applyFill="1" applyBorder="1" applyAlignment="1">
      <x:alignment horizontal="center" vertical="center" wrapText="1"/>
    </x:xf>
    <x:xf numFmtId="0" fontId="5" fillId="0" borderId="11" xfId="0" applyNumberFormat="1" applyFont="1" applyFill="1" applyBorder="1" applyAlignment="1">
      <x:alignment horizontal="center" vertical="center" wrapText="1"/>
    </x:xf>
    <x:xf numFmtId="0" fontId="5" fillId="0" borderId="11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15" xfId="0" applyNumberFormat="1" applyFont="1" applyFill="1" applyBorder="1" applyAlignment="1">
      <x:alignment horizontal="center" vertical="center" wrapText="1"/>
    </x:xf>
    <x:xf numFmtId="0" fontId="5" fillId="0" borderId="16" xfId="0" applyNumberFormat="1" applyFont="1" applyFill="1" applyBorder="1" applyAlignment="1">
      <x:alignment horizontal="center"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 applyAlignment="1">
      <x:alignment horizontal="center" vertical="center"/>
    </x:xf>
    <x:xf numFmtId="0" fontId="4" fillId="0" borderId="17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left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left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0" fillId="11" borderId="1" xfId="0" applyNumberFormat="1" applyFont="1" applyFill="1" applyBorder="1"/>
    <x:xf numFmtId="0" fontId="4" fillId="11" borderId="1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0" fillId="12" borderId="1" xfId="0" applyNumberFormat="1" applyFont="1" applyFill="1" applyBorder="1"/>
    <x:xf numFmtId="0" fontId="4" fillId="12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4" fillId="8" borderId="1" xfId="0" applyNumberFormat="1" applyFont="1" applyFill="1" applyBorder="1" applyAlignment="1">
      <x:alignment horizontal="center"/>
    </x:xf>
    <x:xf numFmtId="0" fontId="4" fillId="8" borderId="1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2">
    <x:dxf>
      <x:font>
        <x:b/>
        <x:color rgb="FFFFFFFF"/>
      </x:font>
      <x:fill>
        <x:patternFill patternType="solid">
          <x:bgColor rgb="FF5B9BD5"/>
        </x:patternFill>
      </x:fill>
    </x:dxf>
    <x:dxf>
      <x:font>
        <x:b/>
        <x:color rgb="FFFFFFFF"/>
      </x:font>
      <x:fill>
        <x:patternFill patternType="solid">
          <x:bgColor rgb="FF70AD47"/>
        </x:patternFill>
      </x:fill>
    </x:dxf>
    <x:dxf>
      <x:font>
        <x:b/>
        <x:color rgb="FFFFFFFF"/>
      </x:font>
      <x:fill>
        <x:patternFill patternType="solid">
          <x:bgColor rgb="FFEDB120"/>
        </x:patternFill>
      </x:fill>
    </x:dxf>
    <x:dxf>
      <x:font>
        <x:b/>
        <x:color rgb="FFFFFFFF"/>
      </x:font>
      <x:fill>
        <x:patternFill patternType="solid">
          <x:bgColor rgb="FFC55A11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DE9D5"/>
        </x:patternFill>
      </x:fill>
    </x:dxf>
    <x:dxf>
      <x:fill>
        <x:patternFill patternType="solid">
          <x:bgColor rgb="FFFBE5D6"/>
        </x:patternFill>
      </x:fill>
    </x:dxf>
    <x:dxf>
      <x:fill>
        <x:patternFill patternType="solid">
          <x:bgColor rgb="FFE4DFEC"/>
        </x:patternFill>
      </x:fill>
    </x:dxf>
    <x:dxf>
      <x:font>
        <x:b/>
        <x:color rgb="FFFFFFFF"/>
      </x:font>
      <x:fill>
        <x:patternFill patternType="solid">
          <x:bgColor rgb="FFC0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526e3b61ae4e71" /><Relationship Type="http://schemas.openxmlformats.org/officeDocument/2006/relationships/theme" Target="/xl/theme/theme1.xml" Id="Rab7d1b67bf904441" /><Relationship Type="http://schemas.openxmlformats.org/officeDocument/2006/relationships/sharedStrings" Target="/xl/sharedStrings.xml" Id="R55afaafe6e5349fc" /><Relationship Type="http://schemas.openxmlformats.org/officeDocument/2006/relationships/worksheet" Target="/xl/worksheets/sheet1.xml" Id="Rf24798f51037425e" /><Relationship Type="http://schemas.openxmlformats.org/officeDocument/2006/relationships/worksheet" Target="/xl/worksheets/sheet2.xml" Id="Rf57b76a2be8841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8" hidden="0" customWidth="1"/>
    <x:col min="5" max="5" width="8" hidden="0" customWidth="1"/>
    <x:col min="6" max="6" width="21" hidden="0" customWidth="1"/>
    <x:col min="7" max="7" width="26" hidden="0" customWidth="1"/>
    <x:col min="8" max="8" width="4.5" hidden="0" customWidth="1"/>
    <x:col min="9" max="9" width="4.5" hidden="0" customWidth="1"/>
    <x:col min="10" max="10" width="4.5" hidden="0" customWidth="1"/>
    <x:col min="11" max="11" width="4.5" hidden="0" customWidth="1"/>
    <x:col min="12" max="12" width="4.5" hidden="0" customWidth="1"/>
    <x:col min="13" max="13" width="4.5" hidden="0" customWidth="1"/>
    <x:col min="14" max="14" width="4.5" hidden="0" customWidth="1"/>
    <x:col min="15" max="15" width="4.5" hidden="0" customWidth="1"/>
    <x:col min="16" max="16" width="4.5" hidden="0" customWidth="1"/>
    <x:col min="17" max="17" width="4.5" hidden="0" customWidth="1"/>
    <x:col min="18" max="18" width="4.5" hidden="0" customWidth="1"/>
    <x:col min="19" max="19" width="4.5" hidden="0" customWidth="1"/>
    <x:col min="20" max="20" width="4.5" hidden="0" customWidth="1"/>
    <x:col min="21" max="21" width="4.5" hidden="0" customWidth="1"/>
    <x:col min="22" max="22" width="4.5" hidden="0" customWidth="1"/>
    <x:col min="23" max="23" width="4.5" hidden="0" customWidth="1"/>
    <x:col min="24" max="24" width="4.5" hidden="0" customWidth="1"/>
    <x:col min="25" max="25" width="4.5" hidden="0" customWidth="1"/>
  </x:cols>
  <x:sheetData>
    <x:row r="1" ht="28" customHeight="1">
      <x:c r="A1" s="5" t="str">
        <x:v>Diagrama de Gantt — Hospital Platform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 ht="21" customHeight="1">
      <x:c r="A2" s="13" t="str">
        <x:v>Curso Integrador I — Hospital de Huaycán | Plan académico de 18 semanas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</x:row>
    <x:row r="3">
      <x:c r="A3" s="21" t="str">
        <x:v>Unidad 1 — Planificación y análisis (S1–S4)</x:v>
      </x:c>
      <x:c r="B3" s="21"/>
      <x:c r="C3" s="21"/>
      <x:c r="D3" s="21"/>
      <x:c r="E3" s="21"/>
      <x:c r="F3" s="21"/>
      <x:c r="G3" s="29" t="str">
        <x:v>Unidad 2 — Diseño (S5–S8)</x:v>
      </x:c>
      <x:c r="H3" s="29"/>
      <x:c r="I3" s="29"/>
      <x:c r="J3" s="29"/>
      <x:c r="K3" s="29"/>
      <x:c r="L3" s="29"/>
      <x:c r="M3" s="37" t="str">
        <x:v>Unidad 3 — Desarrollo (S9–S12)</x:v>
      </x:c>
      <x:c r="N3" s="37"/>
      <x:c r="O3" s="37"/>
      <x:c r="P3" s="37"/>
      <x:c r="Q3" s="37"/>
      <x:c r="R3" s="37"/>
      <x:c r="S3" s="45" t="str">
        <x:v>Unidad 4 — Pruebas y cierre (S13–S18)</x:v>
      </x:c>
      <x:c r="T3" s="45"/>
      <x:c r="U3" s="45"/>
      <x:c r="V3" s="45"/>
      <x:c r="W3" s="45"/>
      <x:c r="X3" s="45"/>
      <x:c r="Y3" s="45"/>
    </x:row>
    <x:row r="4" ht="4" customHeight="1">
      <x:c r="H4" s="68" t="n">
        <x:v>1</x:v>
      </x:c>
      <x:c r="I4" s="68" t="n">
        <x:v>2</x:v>
      </x:c>
      <x:c r="J4" s="68" t="n">
        <x:v>3</x:v>
      </x:c>
      <x:c r="K4" s="68" t="n">
        <x:v>4</x:v>
      </x:c>
      <x:c r="L4" s="68" t="n">
        <x:v>5</x:v>
      </x:c>
      <x:c r="M4" s="68" t="n">
        <x:v>6</x:v>
      </x:c>
      <x:c r="N4" s="68" t="n">
        <x:v>7</x:v>
      </x:c>
      <x:c r="O4" s="68" t="n">
        <x:v>8</x:v>
      </x:c>
      <x:c r="P4" s="68" t="n">
        <x:v>9</x:v>
      </x:c>
      <x:c r="Q4" s="68" t="n">
        <x:v>10</x:v>
      </x:c>
      <x:c r="R4" s="68" t="n">
        <x:v>11</x:v>
      </x:c>
      <x:c r="S4" s="68" t="n">
        <x:v>12</x:v>
      </x:c>
      <x:c r="T4" s="68" t="n">
        <x:v>13</x:v>
      </x:c>
      <x:c r="U4" s="68" t="n">
        <x:v>14</x:v>
      </x:c>
      <x:c r="V4" s="68" t="n">
        <x:v>15</x:v>
      </x:c>
      <x:c r="W4" s="68" t="n">
        <x:v>16</x:v>
      </x:c>
      <x:c r="X4" s="68" t="n">
        <x:v>17</x:v>
      </x:c>
      <x:c r="Y4" s="68" t="n">
        <x:v>18</x:v>
      </x:c>
    </x:row>
    <x:row r="5" ht="28" customHeight="1">
      <x:c r="A5" s="54" t="str">
        <x:v>WBS</x:v>
      </x:c>
      <x:c r="B5" s="54" t="str">
        <x:v>Unidad</x:v>
      </x:c>
      <x:c r="C5" s="54" t="str">
        <x:v>Actividad / paquete</x:v>
      </x:c>
      <x:c r="D5" s="54" t="str">
        <x:v>Inicio</x:v>
      </x:c>
      <x:c r="E5" s="54" t="str">
        <x:v>Fin</x:v>
      </x:c>
      <x:c r="F5" s="54" t="str">
        <x:v>Dependencias</x:v>
      </x:c>
      <x:c r="G5" s="54" t="str">
        <x:v>Entregable</x:v>
      </x:c>
      <x:c r="H5" s="54" t="str">
        <x:v>S1</x:v>
      </x:c>
      <x:c r="I5" s="54" t="str">
        <x:v>S2</x:v>
      </x:c>
      <x:c r="J5" s="54" t="str">
        <x:v>S3</x:v>
      </x:c>
      <x:c r="K5" s="54" t="str">
        <x:v>S4</x:v>
      </x:c>
      <x:c r="L5" s="54" t="str">
        <x:v>S5</x:v>
      </x:c>
      <x:c r="M5" s="54" t="str">
        <x:v>S6</x:v>
      </x:c>
      <x:c r="N5" s="54" t="str">
        <x:v>S7</x:v>
      </x:c>
      <x:c r="O5" s="54" t="str">
        <x:v>S8</x:v>
      </x:c>
      <x:c r="P5" s="54" t="str">
        <x:v>S9</x:v>
      </x:c>
      <x:c r="Q5" s="54" t="str">
        <x:v>S10</x:v>
      </x:c>
      <x:c r="R5" s="54" t="str">
        <x:v>S11</x:v>
      </x:c>
      <x:c r="S5" s="54" t="str">
        <x:v>S12</x:v>
      </x:c>
      <x:c r="T5" s="54" t="str">
        <x:v>S13</x:v>
      </x:c>
      <x:c r="U5" s="54" t="str">
        <x:v>S14</x:v>
      </x:c>
      <x:c r="V5" s="54" t="str">
        <x:v>S15</x:v>
      </x:c>
      <x:c r="W5" s="54" t="str">
        <x:v>S16</x:v>
      </x:c>
      <x:c r="X5" s="54" t="str">
        <x:v>S17</x:v>
      </x:c>
      <x:c r="Y5" s="54" t="str">
        <x:v>S18</x:v>
      </x:c>
    </x:row>
    <x:row r="6">
      <x:c r="A6" s="76" t="str">
        <x:v>1.2.1</x:v>
      </x:c>
      <x:c r="B6" s="77" t="str">
        <x:v>Unidad 1</x:v>
      </x:c>
      <x:c r="C6" s="78" t="str">
        <x:v>Revisión bibliográfica y fuentes</x:v>
      </x:c>
      <x:c r="D6" s="77" t="n">
        <x:v>1</x:v>
      </x:c>
      <x:c r="E6" s="77" t="n">
        <x:v>1</x:v>
      </x:c>
      <x:c r="F6" s="78" t="str">
        <x:v>—</x:v>
      </x:c>
      <x:c r="G6" s="78" t="str">
        <x:v>Fuentes y marco teórico</x:v>
      </x:c>
      <x:c r="H6" s="79" t="str">
        <x:f>IF(AND(H$4&gt;=$D6,H$4&lt;=$E6),"■","")</x:f>
        <x:v>■</x:v>
      </x:c>
      <x:c r="I6" s="79" t="str">
        <x:f>IF(AND(I$4&gt;=$D6,I$4&lt;=$E6),"■","")</x:f>
      </x:c>
      <x:c r="J6" s="79" t="str">
        <x:f>IF(AND(J$4&gt;=$D6,J$4&lt;=$E6),"■","")</x:f>
      </x:c>
      <x:c r="K6" s="79" t="str">
        <x:f>IF(AND(K$4&gt;=$D6,K$4&lt;=$E6),"■","")</x:f>
      </x:c>
      <x:c r="L6" s="79" t="str">
        <x:f>IF(AND(L$4&gt;=$D6,L$4&lt;=$E6),"■","")</x:f>
      </x:c>
      <x:c r="M6" s="79" t="str">
        <x:f>IF(AND(M$4&gt;=$D6,M$4&lt;=$E6),"■","")</x:f>
      </x:c>
      <x:c r="N6" s="79" t="str">
        <x:f>IF(AND(N$4&gt;=$D6,N$4&lt;=$E6),"■","")</x:f>
      </x:c>
      <x:c r="O6" s="79" t="str">
        <x:f>IF(AND(O$4&gt;=$D6,O$4&lt;=$E6),"■","")</x:f>
      </x:c>
      <x:c r="P6" s="79" t="str">
        <x:f>IF(AND(P$4&gt;=$D6,P$4&lt;=$E6),"■","")</x:f>
      </x:c>
      <x:c r="Q6" s="79" t="str">
        <x:f>IF(AND(Q$4&gt;=$D6,Q$4&lt;=$E6),"■","")</x:f>
      </x:c>
      <x:c r="R6" s="79" t="str">
        <x:f>IF(AND(R$4&gt;=$D6,R$4&lt;=$E6),"■","")</x:f>
      </x:c>
      <x:c r="S6" s="79" t="str">
        <x:f>IF(AND(S$4&gt;=$D6,S$4&lt;=$E6),"■","")</x:f>
      </x:c>
      <x:c r="T6" s="79" t="str">
        <x:f>IF(AND(T$4&gt;=$D6,T$4&lt;=$E6),"■","")</x:f>
      </x:c>
      <x:c r="U6" s="79" t="str">
        <x:f>IF(AND(U$4&gt;=$D6,U$4&lt;=$E6),"■","")</x:f>
      </x:c>
      <x:c r="V6" s="79" t="str">
        <x:f>IF(AND(V$4&gt;=$D6,V$4&lt;=$E6),"■","")</x:f>
      </x:c>
      <x:c r="W6" s="79" t="str">
        <x:f>IF(AND(W$4&gt;=$D6,W$4&lt;=$E6),"■","")</x:f>
      </x:c>
      <x:c r="X6" s="79" t="str">
        <x:f>IF(AND(X$4&gt;=$D6,X$4&lt;=$E6),"■","")</x:f>
      </x:c>
      <x:c r="Y6" s="80" t="str">
        <x:f>IF(AND(Y$4&gt;=$D6,Y$4&lt;=$E6),"■","")</x:f>
      </x:c>
    </x:row>
    <x:row r="7">
      <x:c r="A7" s="81" t="str">
        <x:v>1.2.2</x:v>
      </x:c>
      <x:c r="B7" s="66" t="str">
        <x:v>Unidad 1</x:v>
      </x:c>
      <x:c r="C7" s="64" t="str">
        <x:v>Problema de investigación</x:v>
      </x:c>
      <x:c r="D7" s="66" t="n">
        <x:v>1</x:v>
      </x:c>
      <x:c r="E7" s="66" t="n">
        <x:v>1</x:v>
      </x:c>
      <x:c r="F7" s="64" t="str">
        <x:v>1.2.1</x:v>
      </x:c>
      <x:c r="G7" s="64" t="str">
        <x:v>Problema y objetivos</x:v>
      </x:c>
      <x:c r="H7" s="74" t="str">
        <x:f>IF(AND(H$4&gt;=$D7,H$4&lt;=$E7),"■","")</x:f>
        <x:v>■</x:v>
      </x:c>
      <x:c r="I7" s="74" t="str">
        <x:f>IF(AND(I$4&gt;=$D7,I$4&lt;=$E7),"■","")</x:f>
      </x:c>
      <x:c r="J7" s="74" t="str">
        <x:f>IF(AND(J$4&gt;=$D7,J$4&lt;=$E7),"■","")</x:f>
      </x:c>
      <x:c r="K7" s="74" t="str">
        <x:f>IF(AND(K$4&gt;=$D7,K$4&lt;=$E7),"■","")</x:f>
      </x:c>
      <x:c r="L7" s="74" t="str">
        <x:f>IF(AND(L$4&gt;=$D7,L$4&lt;=$E7),"■","")</x:f>
      </x:c>
      <x:c r="M7" s="74" t="str">
        <x:f>IF(AND(M$4&gt;=$D7,M$4&lt;=$E7),"■","")</x:f>
      </x:c>
      <x:c r="N7" s="74" t="str">
        <x:f>IF(AND(N$4&gt;=$D7,N$4&lt;=$E7),"■","")</x:f>
      </x:c>
      <x:c r="O7" s="74" t="str">
        <x:f>IF(AND(O$4&gt;=$D7,O$4&lt;=$E7),"■","")</x:f>
      </x:c>
      <x:c r="P7" s="74" t="str">
        <x:f>IF(AND(P$4&gt;=$D7,P$4&lt;=$E7),"■","")</x:f>
      </x:c>
      <x:c r="Q7" s="74" t="str">
        <x:f>IF(AND(Q$4&gt;=$D7,Q$4&lt;=$E7),"■","")</x:f>
      </x:c>
      <x:c r="R7" s="74" t="str">
        <x:f>IF(AND(R$4&gt;=$D7,R$4&lt;=$E7),"■","")</x:f>
      </x:c>
      <x:c r="S7" s="74" t="str">
        <x:f>IF(AND(S$4&gt;=$D7,S$4&lt;=$E7),"■","")</x:f>
      </x:c>
      <x:c r="T7" s="74" t="str">
        <x:f>IF(AND(T$4&gt;=$D7,T$4&lt;=$E7),"■","")</x:f>
      </x:c>
      <x:c r="U7" s="74" t="str">
        <x:f>IF(AND(U$4&gt;=$D7,U$4&lt;=$E7),"■","")</x:f>
      </x:c>
      <x:c r="V7" s="74" t="str">
        <x:f>IF(AND(V$4&gt;=$D7,V$4&lt;=$E7),"■","")</x:f>
      </x:c>
      <x:c r="W7" s="74" t="str">
        <x:f>IF(AND(W$4&gt;=$D7,W$4&lt;=$E7),"■","")</x:f>
      </x:c>
      <x:c r="X7" s="74" t="str">
        <x:f>IF(AND(X$4&gt;=$D7,X$4&lt;=$E7),"■","")</x:f>
      </x:c>
      <x:c r="Y7" s="82" t="str">
        <x:f>IF(AND(Y$4&gt;=$D7,Y$4&lt;=$E7),"■","")</x:f>
      </x:c>
    </x:row>
    <x:row r="8">
      <x:c r="A8" s="81" t="str">
        <x:v>1.1.2</x:v>
      </x:c>
      <x:c r="B8" s="66" t="str">
        <x:v>Unidad 1</x:v>
      </x:c>
      <x:c r="C8" s="64" t="str">
        <x:v>Lean Canvas</x:v>
      </x:c>
      <x:c r="D8" s="66" t="n">
        <x:v>1</x:v>
      </x:c>
      <x:c r="E8" s="66" t="n">
        <x:v>2</x:v>
      </x:c>
      <x:c r="F8" s="64" t="str">
        <x:v>1.2.1–1.2.2</x:v>
      </x:c>
      <x:c r="G8" s="64" t="str">
        <x:v>lean-canvas.md</x:v>
      </x:c>
      <x:c r="H8" s="74" t="str">
        <x:f>IF(AND(H$4&gt;=$D8,H$4&lt;=$E8),"■","")</x:f>
        <x:v>■</x:v>
      </x:c>
      <x:c r="I8" s="74" t="str">
        <x:f>IF(AND(I$4&gt;=$D8,I$4&lt;=$E8),"■","")</x:f>
        <x:v>■</x:v>
      </x:c>
      <x:c r="J8" s="74" t="str">
        <x:f>IF(AND(J$4&gt;=$D8,J$4&lt;=$E8),"■","")</x:f>
      </x:c>
      <x:c r="K8" s="74" t="str">
        <x:f>IF(AND(K$4&gt;=$D8,K$4&lt;=$E8),"■","")</x:f>
      </x:c>
      <x:c r="L8" s="74" t="str">
        <x:f>IF(AND(L$4&gt;=$D8,L$4&lt;=$E8),"■","")</x:f>
      </x:c>
      <x:c r="M8" s="74" t="str">
        <x:f>IF(AND(M$4&gt;=$D8,M$4&lt;=$E8),"■","")</x:f>
      </x:c>
      <x:c r="N8" s="74" t="str">
        <x:f>IF(AND(N$4&gt;=$D8,N$4&lt;=$E8),"■","")</x:f>
      </x:c>
      <x:c r="O8" s="74" t="str">
        <x:f>IF(AND(O$4&gt;=$D8,O$4&lt;=$E8),"■","")</x:f>
      </x:c>
      <x:c r="P8" s="74" t="str">
        <x:f>IF(AND(P$4&gt;=$D8,P$4&lt;=$E8),"■","")</x:f>
      </x:c>
      <x:c r="Q8" s="74" t="str">
        <x:f>IF(AND(Q$4&gt;=$D8,Q$4&lt;=$E8),"■","")</x:f>
      </x:c>
      <x:c r="R8" s="74" t="str">
        <x:f>IF(AND(R$4&gt;=$D8,R$4&lt;=$E8),"■","")</x:f>
      </x:c>
      <x:c r="S8" s="74" t="str">
        <x:f>IF(AND(S$4&gt;=$D8,S$4&lt;=$E8),"■","")</x:f>
      </x:c>
      <x:c r="T8" s="74" t="str">
        <x:f>IF(AND(T$4&gt;=$D8,T$4&lt;=$E8),"■","")</x:f>
      </x:c>
      <x:c r="U8" s="74" t="str">
        <x:f>IF(AND(U$4&gt;=$D8,U$4&lt;=$E8),"■","")</x:f>
      </x:c>
      <x:c r="V8" s="74" t="str">
        <x:f>IF(AND(V$4&gt;=$D8,V$4&lt;=$E8),"■","")</x:f>
      </x:c>
      <x:c r="W8" s="74" t="str">
        <x:f>IF(AND(W$4&gt;=$D8,W$4&lt;=$E8),"■","")</x:f>
      </x:c>
      <x:c r="X8" s="74" t="str">
        <x:f>IF(AND(X$4&gt;=$D8,X$4&lt;=$E8),"■","")</x:f>
      </x:c>
      <x:c r="Y8" s="82" t="str">
        <x:f>IF(AND(Y$4&gt;=$D8,Y$4&lt;=$E8),"■","")</x:f>
      </x:c>
    </x:row>
    <x:row r="9">
      <x:c r="A9" s="81" t="str">
        <x:v>1.1.3</x:v>
      </x:c>
      <x:c r="B9" s="66" t="str">
        <x:v>Unidad 1</x:v>
      </x:c>
      <x:c r="C9" s="64" t="str">
        <x:v>Project Charter</x:v>
      </x:c>
      <x:c r="D9" s="66" t="n">
        <x:v>1</x:v>
      </x:c>
      <x:c r="E9" s="66" t="n">
        <x:v>2</x:v>
      </x:c>
      <x:c r="F9" s="64" t="str">
        <x:v>1.1.2</x:v>
      </x:c>
      <x:c r="G9" s="64" t="str">
        <x:v>project-charter.md</x:v>
      </x:c>
      <x:c r="H9" s="74" t="str">
        <x:f>IF(AND(H$4&gt;=$D9,H$4&lt;=$E9),"■","")</x:f>
        <x:v>■</x:v>
      </x:c>
      <x:c r="I9" s="74" t="str">
        <x:f>IF(AND(I$4&gt;=$D9,I$4&lt;=$E9),"■","")</x:f>
        <x:v>■</x:v>
      </x:c>
      <x:c r="J9" s="74" t="str">
        <x:f>IF(AND(J$4&gt;=$D9,J$4&lt;=$E9),"■","")</x:f>
      </x:c>
      <x:c r="K9" s="74" t="str">
        <x:f>IF(AND(K$4&gt;=$D9,K$4&lt;=$E9),"■","")</x:f>
      </x:c>
      <x:c r="L9" s="74" t="str">
        <x:f>IF(AND(L$4&gt;=$D9,L$4&lt;=$E9),"■","")</x:f>
      </x:c>
      <x:c r="M9" s="74" t="str">
        <x:f>IF(AND(M$4&gt;=$D9,M$4&lt;=$E9),"■","")</x:f>
      </x:c>
      <x:c r="N9" s="74" t="str">
        <x:f>IF(AND(N$4&gt;=$D9,N$4&lt;=$E9),"■","")</x:f>
      </x:c>
      <x:c r="O9" s="74" t="str">
        <x:f>IF(AND(O$4&gt;=$D9,O$4&lt;=$E9),"■","")</x:f>
      </x:c>
      <x:c r="P9" s="74" t="str">
        <x:f>IF(AND(P$4&gt;=$D9,P$4&lt;=$E9),"■","")</x:f>
      </x:c>
      <x:c r="Q9" s="74" t="str">
        <x:f>IF(AND(Q$4&gt;=$D9,Q$4&lt;=$E9),"■","")</x:f>
      </x:c>
      <x:c r="R9" s="74" t="str">
        <x:f>IF(AND(R$4&gt;=$D9,R$4&lt;=$E9),"■","")</x:f>
      </x:c>
      <x:c r="S9" s="74" t="str">
        <x:f>IF(AND(S$4&gt;=$D9,S$4&lt;=$E9),"■","")</x:f>
      </x:c>
      <x:c r="T9" s="74" t="str">
        <x:f>IF(AND(T$4&gt;=$D9,T$4&lt;=$E9),"■","")</x:f>
      </x:c>
      <x:c r="U9" s="74" t="str">
        <x:f>IF(AND(U$4&gt;=$D9,U$4&lt;=$E9),"■","")</x:f>
      </x:c>
      <x:c r="V9" s="74" t="str">
        <x:f>IF(AND(V$4&gt;=$D9,V$4&lt;=$E9),"■","")</x:f>
      </x:c>
      <x:c r="W9" s="74" t="str">
        <x:f>IF(AND(W$4&gt;=$D9,W$4&lt;=$E9),"■","")</x:f>
      </x:c>
      <x:c r="X9" s="74" t="str">
        <x:f>IF(AND(X$4&gt;=$D9,X$4&lt;=$E9),"■","")</x:f>
      </x:c>
      <x:c r="Y9" s="82" t="str">
        <x:f>IF(AND(Y$4&gt;=$D9,Y$4&lt;=$E9),"■","")</x:f>
      </x:c>
    </x:row>
    <x:row r="10">
      <x:c r="A10" s="81" t="str">
        <x:v>1.1.4</x:v>
      </x:c>
      <x:c r="B10" s="66" t="str">
        <x:v>Unidad 1</x:v>
      </x:c>
      <x:c r="C10" s="64" t="str">
        <x:v>WBS</x:v>
      </x:c>
      <x:c r="D10" s="66" t="n">
        <x:v>2</x:v>
      </x:c>
      <x:c r="E10" s="66" t="n">
        <x:v>2</x:v>
      </x:c>
      <x:c r="F10" s="64" t="str">
        <x:v>1.1.3</x:v>
      </x:c>
      <x:c r="G10" s="64" t="str">
        <x:v>wbs.md</x:v>
      </x:c>
      <x:c r="H10" s="74" t="str">
        <x:f>IF(AND(H$4&gt;=$D10,H$4&lt;=$E10),"■","")</x:f>
      </x:c>
      <x:c r="I10" s="74" t="str">
        <x:f>IF(AND(I$4&gt;=$D10,I$4&lt;=$E10),"■","")</x:f>
        <x:v>■</x:v>
      </x:c>
      <x:c r="J10" s="74" t="str">
        <x:f>IF(AND(J$4&gt;=$D10,J$4&lt;=$E10),"■","")</x:f>
      </x:c>
      <x:c r="K10" s="74" t="str">
        <x:f>IF(AND(K$4&gt;=$D10,K$4&lt;=$E10),"■","")</x:f>
      </x:c>
      <x:c r="L10" s="74" t="str">
        <x:f>IF(AND(L$4&gt;=$D10,L$4&lt;=$E10),"■","")</x:f>
      </x:c>
      <x:c r="M10" s="74" t="str">
        <x:f>IF(AND(M$4&gt;=$D10,M$4&lt;=$E10),"■","")</x:f>
      </x:c>
      <x:c r="N10" s="74" t="str">
        <x:f>IF(AND(N$4&gt;=$D10,N$4&lt;=$E10),"■","")</x:f>
      </x:c>
      <x:c r="O10" s="74" t="str">
        <x:f>IF(AND(O$4&gt;=$D10,O$4&lt;=$E10),"■","")</x:f>
      </x:c>
      <x:c r="P10" s="74" t="str">
        <x:f>IF(AND(P$4&gt;=$D10,P$4&lt;=$E10),"■","")</x:f>
      </x:c>
      <x:c r="Q10" s="74" t="str">
        <x:f>IF(AND(Q$4&gt;=$D10,Q$4&lt;=$E10),"■","")</x:f>
      </x:c>
      <x:c r="R10" s="74" t="str">
        <x:f>IF(AND(R$4&gt;=$D10,R$4&lt;=$E10),"■","")</x:f>
      </x:c>
      <x:c r="S10" s="74" t="str">
        <x:f>IF(AND(S$4&gt;=$D10,S$4&lt;=$E10),"■","")</x:f>
      </x:c>
      <x:c r="T10" s="74" t="str">
        <x:f>IF(AND(T$4&gt;=$D10,T$4&lt;=$E10),"■","")</x:f>
      </x:c>
      <x:c r="U10" s="74" t="str">
        <x:f>IF(AND(U$4&gt;=$D10,U$4&lt;=$E10),"■","")</x:f>
      </x:c>
      <x:c r="V10" s="74" t="str">
        <x:f>IF(AND(V$4&gt;=$D10,V$4&lt;=$E10),"■","")</x:f>
      </x:c>
      <x:c r="W10" s="74" t="str">
        <x:f>IF(AND(W$4&gt;=$D10,W$4&lt;=$E10),"■","")</x:f>
      </x:c>
      <x:c r="X10" s="74" t="str">
        <x:f>IF(AND(X$4&gt;=$D10,X$4&lt;=$E10),"■","")</x:f>
      </x:c>
      <x:c r="Y10" s="82" t="str">
        <x:f>IF(AND(Y$4&gt;=$D10,Y$4&lt;=$E10),"■","")</x:f>
      </x:c>
    </x:row>
    <x:row r="11">
      <x:c r="A11" s="81" t="str">
        <x:v>1.1.5</x:v>
      </x:c>
      <x:c r="B11" s="66" t="str">
        <x:v>Unidad 1</x:v>
      </x:c>
      <x:c r="C11" s="64" t="str">
        <x:v>Gantt</x:v>
      </x:c>
      <x:c r="D11" s="66" t="n">
        <x:v>2</x:v>
      </x:c>
      <x:c r="E11" s="66" t="n">
        <x:v>2</x:v>
      </x:c>
      <x:c r="F11" s="64" t="str">
        <x:v>1.1.4</x:v>
      </x:c>
      <x:c r="G11" s="64" t="str">
        <x:v>gantt.md</x:v>
      </x:c>
      <x:c r="H11" s="74" t="str">
        <x:f>IF(AND(H$4&gt;=$D11,H$4&lt;=$E11),"■","")</x:f>
      </x:c>
      <x:c r="I11" s="74" t="str">
        <x:f>IF(AND(I$4&gt;=$D11,I$4&lt;=$E11),"■","")</x:f>
        <x:v>■</x:v>
      </x:c>
      <x:c r="J11" s="74" t="str">
        <x:f>IF(AND(J$4&gt;=$D11,J$4&lt;=$E11),"■","")</x:f>
      </x:c>
      <x:c r="K11" s="74" t="str">
        <x:f>IF(AND(K$4&gt;=$D11,K$4&lt;=$E11),"■","")</x:f>
      </x:c>
      <x:c r="L11" s="74" t="str">
        <x:f>IF(AND(L$4&gt;=$D11,L$4&lt;=$E11),"■","")</x:f>
      </x:c>
      <x:c r="M11" s="74" t="str">
        <x:f>IF(AND(M$4&gt;=$D11,M$4&lt;=$E11),"■","")</x:f>
      </x:c>
      <x:c r="N11" s="74" t="str">
        <x:f>IF(AND(N$4&gt;=$D11,N$4&lt;=$E11),"■","")</x:f>
      </x:c>
      <x:c r="O11" s="74" t="str">
        <x:f>IF(AND(O$4&gt;=$D11,O$4&lt;=$E11),"■","")</x:f>
      </x:c>
      <x:c r="P11" s="74" t="str">
        <x:f>IF(AND(P$4&gt;=$D11,P$4&lt;=$E11),"■","")</x:f>
      </x:c>
      <x:c r="Q11" s="74" t="str">
        <x:f>IF(AND(Q$4&gt;=$D11,Q$4&lt;=$E11),"■","")</x:f>
      </x:c>
      <x:c r="R11" s="74" t="str">
        <x:f>IF(AND(R$4&gt;=$D11,R$4&lt;=$E11),"■","")</x:f>
      </x:c>
      <x:c r="S11" s="74" t="str">
        <x:f>IF(AND(S$4&gt;=$D11,S$4&lt;=$E11),"■","")</x:f>
      </x:c>
      <x:c r="T11" s="74" t="str">
        <x:f>IF(AND(T$4&gt;=$D11,T$4&lt;=$E11),"■","")</x:f>
      </x:c>
      <x:c r="U11" s="74" t="str">
        <x:f>IF(AND(U$4&gt;=$D11,U$4&lt;=$E11),"■","")</x:f>
      </x:c>
      <x:c r="V11" s="74" t="str">
        <x:f>IF(AND(V$4&gt;=$D11,V$4&lt;=$E11),"■","")</x:f>
      </x:c>
      <x:c r="W11" s="74" t="str">
        <x:f>IF(AND(W$4&gt;=$D11,W$4&lt;=$E11),"■","")</x:f>
      </x:c>
      <x:c r="X11" s="74" t="str">
        <x:f>IF(AND(X$4&gt;=$D11,X$4&lt;=$E11),"■","")</x:f>
      </x:c>
      <x:c r="Y11" s="82" t="str">
        <x:f>IF(AND(Y$4&gt;=$D11,Y$4&lt;=$E11),"■","")</x:f>
      </x:c>
    </x:row>
    <x:row r="12">
      <x:c r="A12" s="81" t="str">
        <x:v>1.2.3</x:v>
      </x:c>
      <x:c r="B12" s="66" t="str">
        <x:v>Unidad 1</x:v>
      </x:c>
      <x:c r="C12" s="64" t="str">
        <x:v>Revisión institucional</x:v>
      </x:c>
      <x:c r="D12" s="66" t="n">
        <x:v>1</x:v>
      </x:c>
      <x:c r="E12" s="66" t="n">
        <x:v>3</x:v>
      </x:c>
      <x:c r="F12" s="64" t="str">
        <x:v>1.2.1</x:v>
      </x:c>
      <x:c r="G12" s="64" t="str">
        <x:v>Evidencia institucional</x:v>
      </x:c>
      <x:c r="H12" s="74" t="str">
        <x:f>IF(AND(H$4&gt;=$D12,H$4&lt;=$E12),"■","")</x:f>
        <x:v>■</x:v>
      </x:c>
      <x:c r="I12" s="74" t="str">
        <x:f>IF(AND(I$4&gt;=$D12,I$4&lt;=$E12),"■","")</x:f>
        <x:v>■</x:v>
      </x:c>
      <x:c r="J12" s="74" t="str">
        <x:f>IF(AND(J$4&gt;=$D12,J$4&lt;=$E12),"■","")</x:f>
        <x:v>■</x:v>
      </x:c>
      <x:c r="K12" s="74" t="str">
        <x:f>IF(AND(K$4&gt;=$D12,K$4&lt;=$E12),"■","")</x:f>
      </x:c>
      <x:c r="L12" s="74" t="str">
        <x:f>IF(AND(L$4&gt;=$D12,L$4&lt;=$E12),"■","")</x:f>
      </x:c>
      <x:c r="M12" s="74" t="str">
        <x:f>IF(AND(M$4&gt;=$D12,M$4&lt;=$E12),"■","")</x:f>
      </x:c>
      <x:c r="N12" s="74" t="str">
        <x:f>IF(AND(N$4&gt;=$D12,N$4&lt;=$E12),"■","")</x:f>
      </x:c>
      <x:c r="O12" s="74" t="str">
        <x:f>IF(AND(O$4&gt;=$D12,O$4&lt;=$E12),"■","")</x:f>
      </x:c>
      <x:c r="P12" s="74" t="str">
        <x:f>IF(AND(P$4&gt;=$D12,P$4&lt;=$E12),"■","")</x:f>
      </x:c>
      <x:c r="Q12" s="74" t="str">
        <x:f>IF(AND(Q$4&gt;=$D12,Q$4&lt;=$E12),"■","")</x:f>
      </x:c>
      <x:c r="R12" s="74" t="str">
        <x:f>IF(AND(R$4&gt;=$D12,R$4&lt;=$E12),"■","")</x:f>
      </x:c>
      <x:c r="S12" s="74" t="str">
        <x:f>IF(AND(S$4&gt;=$D12,S$4&lt;=$E12),"■","")</x:f>
      </x:c>
      <x:c r="T12" s="74" t="str">
        <x:f>IF(AND(T$4&gt;=$D12,T$4&lt;=$E12),"■","")</x:f>
      </x:c>
      <x:c r="U12" s="74" t="str">
        <x:f>IF(AND(U$4&gt;=$D12,U$4&lt;=$E12),"■","")</x:f>
      </x:c>
      <x:c r="V12" s="74" t="str">
        <x:f>IF(AND(V$4&gt;=$D12,V$4&lt;=$E12),"■","")</x:f>
      </x:c>
      <x:c r="W12" s="74" t="str">
        <x:f>IF(AND(W$4&gt;=$D12,W$4&lt;=$E12),"■","")</x:f>
      </x:c>
      <x:c r="X12" s="74" t="str">
        <x:f>IF(AND(X$4&gt;=$D12,X$4&lt;=$E12),"■","")</x:f>
      </x:c>
      <x:c r="Y12" s="82" t="str">
        <x:f>IF(AND(Y$4&gt;=$D12,Y$4&lt;=$E12),"■","")</x:f>
      </x:c>
    </x:row>
    <x:row r="13">
      <x:c r="A13" s="81" t="str">
        <x:v>1.2.4</x:v>
      </x:c>
      <x:c r="B13" s="66" t="str">
        <x:v>Unidad 1</x:v>
      </x:c>
      <x:c r="C13" s="64" t="str">
        <x:v>Preparar levantamiento</x:v>
      </x:c>
      <x:c r="D13" s="66" t="n">
        <x:v>2</x:v>
      </x:c>
      <x:c r="E13" s="66" t="n">
        <x:v>3</x:v>
      </x:c>
      <x:c r="F13" s="64" t="str">
        <x:v>1.2.3</x:v>
      </x:c>
      <x:c r="G13" s="64" t="str">
        <x:v>Instrumentos</x:v>
      </x:c>
      <x:c r="H13" s="74" t="str">
        <x:f>IF(AND(H$4&gt;=$D13,H$4&lt;=$E13),"■","")</x:f>
      </x:c>
      <x:c r="I13" s="74" t="str">
        <x:f>IF(AND(I$4&gt;=$D13,I$4&lt;=$E13),"■","")</x:f>
        <x:v>■</x:v>
      </x:c>
      <x:c r="J13" s="74" t="str">
        <x:f>IF(AND(J$4&gt;=$D13,J$4&lt;=$E13),"■","")</x:f>
        <x:v>■</x:v>
      </x:c>
      <x:c r="K13" s="74" t="str">
        <x:f>IF(AND(K$4&gt;=$D13,K$4&lt;=$E13),"■","")</x:f>
      </x:c>
      <x:c r="L13" s="74" t="str">
        <x:f>IF(AND(L$4&gt;=$D13,L$4&lt;=$E13),"■","")</x:f>
      </x:c>
      <x:c r="M13" s="74" t="str">
        <x:f>IF(AND(M$4&gt;=$D13,M$4&lt;=$E13),"■","")</x:f>
      </x:c>
      <x:c r="N13" s="74" t="str">
        <x:f>IF(AND(N$4&gt;=$D13,N$4&lt;=$E13),"■","")</x:f>
      </x:c>
      <x:c r="O13" s="74" t="str">
        <x:f>IF(AND(O$4&gt;=$D13,O$4&lt;=$E13),"■","")</x:f>
      </x:c>
      <x:c r="P13" s="74" t="str">
        <x:f>IF(AND(P$4&gt;=$D13,P$4&lt;=$E13),"■","")</x:f>
      </x:c>
      <x:c r="Q13" s="74" t="str">
        <x:f>IF(AND(Q$4&gt;=$D13,Q$4&lt;=$E13),"■","")</x:f>
      </x:c>
      <x:c r="R13" s="74" t="str">
        <x:f>IF(AND(R$4&gt;=$D13,R$4&lt;=$E13),"■","")</x:f>
      </x:c>
      <x:c r="S13" s="74" t="str">
        <x:f>IF(AND(S$4&gt;=$D13,S$4&lt;=$E13),"■","")</x:f>
      </x:c>
      <x:c r="T13" s="74" t="str">
        <x:f>IF(AND(T$4&gt;=$D13,T$4&lt;=$E13),"■","")</x:f>
      </x:c>
      <x:c r="U13" s="74" t="str">
        <x:f>IF(AND(U$4&gt;=$D13,U$4&lt;=$E13),"■","")</x:f>
      </x:c>
      <x:c r="V13" s="74" t="str">
        <x:f>IF(AND(V$4&gt;=$D13,V$4&lt;=$E13),"■","")</x:f>
      </x:c>
      <x:c r="W13" s="74" t="str">
        <x:f>IF(AND(W$4&gt;=$D13,W$4&lt;=$E13),"■","")</x:f>
      </x:c>
      <x:c r="X13" s="74" t="str">
        <x:f>IF(AND(X$4&gt;=$D13,X$4&lt;=$E13),"■","")</x:f>
      </x:c>
      <x:c r="Y13" s="82" t="str">
        <x:f>IF(AND(Y$4&gt;=$D13,Y$4&lt;=$E13),"■","")</x:f>
      </x:c>
    </x:row>
    <x:row r="14">
      <x:c r="A14" s="81" t="str">
        <x:v>1.2.5</x:v>
      </x:c>
      <x:c r="B14" s="66" t="str">
        <x:v>Unidad 1</x:v>
      </x:c>
      <x:c r="C14" s="64" t="str">
        <x:v>Ejecutar levantamiento</x:v>
      </x:c>
      <x:c r="D14" s="66" t="n">
        <x:v>3</x:v>
      </x:c>
      <x:c r="E14" s="66" t="n">
        <x:v>4</x:v>
      </x:c>
      <x:c r="F14" s="64" t="str">
        <x:v>1.2.4</x:v>
      </x:c>
      <x:c r="G14" s="64" t="str">
        <x:v>Hallazgos AS-IS</x:v>
      </x:c>
      <x:c r="H14" s="74" t="str">
        <x:f>IF(AND(H$4&gt;=$D14,H$4&lt;=$E14),"■","")</x:f>
      </x:c>
      <x:c r="I14" s="74" t="str">
        <x:f>IF(AND(I$4&gt;=$D14,I$4&lt;=$E14),"■","")</x:f>
      </x:c>
      <x:c r="J14" s="74" t="str">
        <x:f>IF(AND(J$4&gt;=$D14,J$4&lt;=$E14),"■","")</x:f>
        <x:v>■</x:v>
      </x:c>
      <x:c r="K14" s="74" t="str">
        <x:f>IF(AND(K$4&gt;=$D14,K$4&lt;=$E14),"■","")</x:f>
        <x:v>■</x:v>
      </x:c>
      <x:c r="L14" s="74" t="str">
        <x:f>IF(AND(L$4&gt;=$D14,L$4&lt;=$E14),"■","")</x:f>
      </x:c>
      <x:c r="M14" s="74" t="str">
        <x:f>IF(AND(M$4&gt;=$D14,M$4&lt;=$E14),"■","")</x:f>
      </x:c>
      <x:c r="N14" s="74" t="str">
        <x:f>IF(AND(N$4&gt;=$D14,N$4&lt;=$E14),"■","")</x:f>
      </x:c>
      <x:c r="O14" s="74" t="str">
        <x:f>IF(AND(O$4&gt;=$D14,O$4&lt;=$E14),"■","")</x:f>
      </x:c>
      <x:c r="P14" s="74" t="str">
        <x:f>IF(AND(P$4&gt;=$D14,P$4&lt;=$E14),"■","")</x:f>
      </x:c>
      <x:c r="Q14" s="74" t="str">
        <x:f>IF(AND(Q$4&gt;=$D14,Q$4&lt;=$E14),"■","")</x:f>
      </x:c>
      <x:c r="R14" s="74" t="str">
        <x:f>IF(AND(R$4&gt;=$D14,R$4&lt;=$E14),"■","")</x:f>
      </x:c>
      <x:c r="S14" s="74" t="str">
        <x:f>IF(AND(S$4&gt;=$D14,S$4&lt;=$E14),"■","")</x:f>
      </x:c>
      <x:c r="T14" s="74" t="str">
        <x:f>IF(AND(T$4&gt;=$D14,T$4&lt;=$E14),"■","")</x:f>
      </x:c>
      <x:c r="U14" s="74" t="str">
        <x:f>IF(AND(U$4&gt;=$D14,U$4&lt;=$E14),"■","")</x:f>
      </x:c>
      <x:c r="V14" s="74" t="str">
        <x:f>IF(AND(V$4&gt;=$D14,V$4&lt;=$E14),"■","")</x:f>
      </x:c>
      <x:c r="W14" s="74" t="str">
        <x:f>IF(AND(W$4&gt;=$D14,W$4&lt;=$E14),"■","")</x:f>
      </x:c>
      <x:c r="X14" s="74" t="str">
        <x:f>IF(AND(X$4&gt;=$D14,X$4&lt;=$E14),"■","")</x:f>
      </x:c>
      <x:c r="Y14" s="82" t="str">
        <x:f>IF(AND(Y$4&gt;=$D14,Y$4&lt;=$E14),"■","")</x:f>
      </x:c>
    </x:row>
    <x:row r="15">
      <x:c r="A15" s="81" t="str">
        <x:v>1.2.6</x:v>
      </x:c>
      <x:c r="B15" s="66" t="str">
        <x:v>Unidad 1</x:v>
      </x:c>
      <x:c r="C15" s="64" t="str">
        <x:v>Consolidar resultados</x:v>
      </x:c>
      <x:c r="D15" s="66" t="n">
        <x:v>4</x:v>
      </x:c>
      <x:c r="E15" s="66" t="n">
        <x:v>4</x:v>
      </x:c>
      <x:c r="F15" s="64" t="str">
        <x:v>1.2.5</x:v>
      </x:c>
      <x:c r="G15" s="64" t="str">
        <x:v>Línea base / hallazgos</x:v>
      </x:c>
      <x:c r="H15" s="74" t="str">
        <x:f>IF(AND(H$4&gt;=$D15,H$4&lt;=$E15),"■","")</x:f>
      </x:c>
      <x:c r="I15" s="74" t="str">
        <x:f>IF(AND(I$4&gt;=$D15,I$4&lt;=$E15),"■","")</x:f>
      </x:c>
      <x:c r="J15" s="74" t="str">
        <x:f>IF(AND(J$4&gt;=$D15,J$4&lt;=$E15),"■","")</x:f>
      </x:c>
      <x:c r="K15" s="74" t="str">
        <x:f>IF(AND(K$4&gt;=$D15,K$4&lt;=$E15),"■","")</x:f>
        <x:v>■</x:v>
      </x:c>
      <x:c r="L15" s="74" t="str">
        <x:f>IF(AND(L$4&gt;=$D15,L$4&lt;=$E15),"■","")</x:f>
      </x:c>
      <x:c r="M15" s="74" t="str">
        <x:f>IF(AND(M$4&gt;=$D15,M$4&lt;=$E15),"■","")</x:f>
      </x:c>
      <x:c r="N15" s="74" t="str">
        <x:f>IF(AND(N$4&gt;=$D15,N$4&lt;=$E15),"■","")</x:f>
      </x:c>
      <x:c r="O15" s="74" t="str">
        <x:f>IF(AND(O$4&gt;=$D15,O$4&lt;=$E15),"■","")</x:f>
      </x:c>
      <x:c r="P15" s="74" t="str">
        <x:f>IF(AND(P$4&gt;=$D15,P$4&lt;=$E15),"■","")</x:f>
      </x:c>
      <x:c r="Q15" s="74" t="str">
        <x:f>IF(AND(Q$4&gt;=$D15,Q$4&lt;=$E15),"■","")</x:f>
      </x:c>
      <x:c r="R15" s="74" t="str">
        <x:f>IF(AND(R$4&gt;=$D15,R$4&lt;=$E15),"■","")</x:f>
      </x:c>
      <x:c r="S15" s="74" t="str">
        <x:f>IF(AND(S$4&gt;=$D15,S$4&lt;=$E15),"■","")</x:f>
      </x:c>
      <x:c r="T15" s="74" t="str">
        <x:f>IF(AND(T$4&gt;=$D15,T$4&lt;=$E15),"■","")</x:f>
      </x:c>
      <x:c r="U15" s="74" t="str">
        <x:f>IF(AND(U$4&gt;=$D15,U$4&lt;=$E15),"■","")</x:f>
      </x:c>
      <x:c r="V15" s="74" t="str">
        <x:f>IF(AND(V$4&gt;=$D15,V$4&lt;=$E15),"■","")</x:f>
      </x:c>
      <x:c r="W15" s="74" t="str">
        <x:f>IF(AND(W$4&gt;=$D15,W$4&lt;=$E15),"■","")</x:f>
      </x:c>
      <x:c r="X15" s="74" t="str">
        <x:f>IF(AND(X$4&gt;=$D15,X$4&lt;=$E15),"■","")</x:f>
      </x:c>
      <x:c r="Y15" s="82" t="str">
        <x:f>IF(AND(Y$4&gt;=$D15,Y$4&lt;=$E15),"■","")</x:f>
      </x:c>
    </x:row>
    <x:row r="16">
      <x:c r="A16" s="81" t="str">
        <x:v>1.3.1</x:v>
      </x:c>
      <x:c r="B16" s="66" t="str">
        <x:v>Unidad 1</x:v>
      </x:c>
      <x:c r="C16" s="64" t="str">
        <x:v>Identificar stakeholders</x:v>
      </x:c>
      <x:c r="D16" s="66" t="n">
        <x:v>2</x:v>
      </x:c>
      <x:c r="E16" s="66" t="n">
        <x:v>3</x:v>
      </x:c>
      <x:c r="F16" s="64" t="str">
        <x:v>1.2.3</x:v>
      </x:c>
      <x:c r="G16" s="64" t="str">
        <x:v>Matriz de actores</x:v>
      </x:c>
      <x:c r="H16" s="74" t="str">
        <x:f>IF(AND(H$4&gt;=$D16,H$4&lt;=$E16),"■","")</x:f>
      </x:c>
      <x:c r="I16" s="74" t="str">
        <x:f>IF(AND(I$4&gt;=$D16,I$4&lt;=$E16),"■","")</x:f>
        <x:v>■</x:v>
      </x:c>
      <x:c r="J16" s="74" t="str">
        <x:f>IF(AND(J$4&gt;=$D16,J$4&lt;=$E16),"■","")</x:f>
        <x:v>■</x:v>
      </x:c>
      <x:c r="K16" s="74" t="str">
        <x:f>IF(AND(K$4&gt;=$D16,K$4&lt;=$E16),"■","")</x:f>
      </x:c>
      <x:c r="L16" s="74" t="str">
        <x:f>IF(AND(L$4&gt;=$D16,L$4&lt;=$E16),"■","")</x:f>
      </x:c>
      <x:c r="M16" s="74" t="str">
        <x:f>IF(AND(M$4&gt;=$D16,M$4&lt;=$E16),"■","")</x:f>
      </x:c>
      <x:c r="N16" s="74" t="str">
        <x:f>IF(AND(N$4&gt;=$D16,N$4&lt;=$E16),"■","")</x:f>
      </x:c>
      <x:c r="O16" s="74" t="str">
        <x:f>IF(AND(O$4&gt;=$D16,O$4&lt;=$E16),"■","")</x:f>
      </x:c>
      <x:c r="P16" s="74" t="str">
        <x:f>IF(AND(P$4&gt;=$D16,P$4&lt;=$E16),"■","")</x:f>
      </x:c>
      <x:c r="Q16" s="74" t="str">
        <x:f>IF(AND(Q$4&gt;=$D16,Q$4&lt;=$E16),"■","")</x:f>
      </x:c>
      <x:c r="R16" s="74" t="str">
        <x:f>IF(AND(R$4&gt;=$D16,R$4&lt;=$E16),"■","")</x:f>
      </x:c>
      <x:c r="S16" s="74" t="str">
        <x:f>IF(AND(S$4&gt;=$D16,S$4&lt;=$E16),"■","")</x:f>
      </x:c>
      <x:c r="T16" s="74" t="str">
        <x:f>IF(AND(T$4&gt;=$D16,T$4&lt;=$E16),"■","")</x:f>
      </x:c>
      <x:c r="U16" s="74" t="str">
        <x:f>IF(AND(U$4&gt;=$D16,U$4&lt;=$E16),"■","")</x:f>
      </x:c>
      <x:c r="V16" s="74" t="str">
        <x:f>IF(AND(V$4&gt;=$D16,V$4&lt;=$E16),"■","")</x:f>
      </x:c>
      <x:c r="W16" s="74" t="str">
        <x:f>IF(AND(W$4&gt;=$D16,W$4&lt;=$E16),"■","")</x:f>
      </x:c>
      <x:c r="X16" s="74" t="str">
        <x:f>IF(AND(X$4&gt;=$D16,X$4&lt;=$E16),"■","")</x:f>
      </x:c>
      <x:c r="Y16" s="82" t="str">
        <x:f>IF(AND(Y$4&gt;=$D16,Y$4&lt;=$E16),"■","")</x:f>
      </x:c>
    </x:row>
    <x:row r="17">
      <x:c r="A17" s="81" t="str">
        <x:v>1.3.2</x:v>
      </x:c>
      <x:c r="B17" s="66" t="str">
        <x:v>Unidad 1</x:v>
      </x:c>
      <x:c r="C17" s="64" t="str">
        <x:v>Requisitos funcionales</x:v>
      </x:c>
      <x:c r="D17" s="66" t="n">
        <x:v>3</x:v>
      </x:c>
      <x:c r="E17" s="66" t="n">
        <x:v>4</x:v>
      </x:c>
      <x:c r="F17" s="64" t="str">
        <x:v>1.2.5</x:v>
      </x:c>
      <x:c r="G17" s="64" t="str">
        <x:v>RF preliminares</x:v>
      </x:c>
      <x:c r="H17" s="74" t="str">
        <x:f>IF(AND(H$4&gt;=$D17,H$4&lt;=$E17),"■","")</x:f>
      </x:c>
      <x:c r="I17" s="74" t="str">
        <x:f>IF(AND(I$4&gt;=$D17,I$4&lt;=$E17),"■","")</x:f>
      </x:c>
      <x:c r="J17" s="74" t="str">
        <x:f>IF(AND(J$4&gt;=$D17,J$4&lt;=$E17),"■","")</x:f>
        <x:v>■</x:v>
      </x:c>
      <x:c r="K17" s="74" t="str">
        <x:f>IF(AND(K$4&gt;=$D17,K$4&lt;=$E17),"■","")</x:f>
        <x:v>■</x:v>
      </x:c>
      <x:c r="L17" s="74" t="str">
        <x:f>IF(AND(L$4&gt;=$D17,L$4&lt;=$E17),"■","")</x:f>
      </x:c>
      <x:c r="M17" s="74" t="str">
        <x:f>IF(AND(M$4&gt;=$D17,M$4&lt;=$E17),"■","")</x:f>
      </x:c>
      <x:c r="N17" s="74" t="str">
        <x:f>IF(AND(N$4&gt;=$D17,N$4&lt;=$E17),"■","")</x:f>
      </x:c>
      <x:c r="O17" s="74" t="str">
        <x:f>IF(AND(O$4&gt;=$D17,O$4&lt;=$E17),"■","")</x:f>
      </x:c>
      <x:c r="P17" s="74" t="str">
        <x:f>IF(AND(P$4&gt;=$D17,P$4&lt;=$E17),"■","")</x:f>
      </x:c>
      <x:c r="Q17" s="74" t="str">
        <x:f>IF(AND(Q$4&gt;=$D17,Q$4&lt;=$E17),"■","")</x:f>
      </x:c>
      <x:c r="R17" s="74" t="str">
        <x:f>IF(AND(R$4&gt;=$D17,R$4&lt;=$E17),"■","")</x:f>
      </x:c>
      <x:c r="S17" s="74" t="str">
        <x:f>IF(AND(S$4&gt;=$D17,S$4&lt;=$E17),"■","")</x:f>
      </x:c>
      <x:c r="T17" s="74" t="str">
        <x:f>IF(AND(T$4&gt;=$D17,T$4&lt;=$E17),"■","")</x:f>
      </x:c>
      <x:c r="U17" s="74" t="str">
        <x:f>IF(AND(U$4&gt;=$D17,U$4&lt;=$E17),"■","")</x:f>
      </x:c>
      <x:c r="V17" s="74" t="str">
        <x:f>IF(AND(V$4&gt;=$D17,V$4&lt;=$E17),"■","")</x:f>
      </x:c>
      <x:c r="W17" s="74" t="str">
        <x:f>IF(AND(W$4&gt;=$D17,W$4&lt;=$E17),"■","")</x:f>
      </x:c>
      <x:c r="X17" s="74" t="str">
        <x:f>IF(AND(X$4&gt;=$D17,X$4&lt;=$E17),"■","")</x:f>
      </x:c>
      <x:c r="Y17" s="82" t="str">
        <x:f>IF(AND(Y$4&gt;=$D17,Y$4&lt;=$E17),"■","")</x:f>
      </x:c>
    </x:row>
    <x:row r="18">
      <x:c r="A18" s="81" t="str">
        <x:v>1.3.3</x:v>
      </x:c>
      <x:c r="B18" s="66" t="str">
        <x:v>Unidad 1</x:v>
      </x:c>
      <x:c r="C18" s="64" t="str">
        <x:v>Requisitos no funcionales</x:v>
      </x:c>
      <x:c r="D18" s="66" t="n">
        <x:v>3</x:v>
      </x:c>
      <x:c r="E18" s="66" t="n">
        <x:v>4</x:v>
      </x:c>
      <x:c r="F18" s="64" t="str">
        <x:v>1.2.5</x:v>
      </x:c>
      <x:c r="G18" s="64" t="str">
        <x:v>RNF preliminares</x:v>
      </x:c>
      <x:c r="H18" s="74" t="str">
        <x:f>IF(AND(H$4&gt;=$D18,H$4&lt;=$E18),"■","")</x:f>
      </x:c>
      <x:c r="I18" s="74" t="str">
        <x:f>IF(AND(I$4&gt;=$D18,I$4&lt;=$E18),"■","")</x:f>
      </x:c>
      <x:c r="J18" s="74" t="str">
        <x:f>IF(AND(J$4&gt;=$D18,J$4&lt;=$E18),"■","")</x:f>
        <x:v>■</x:v>
      </x:c>
      <x:c r="K18" s="74" t="str">
        <x:f>IF(AND(K$4&gt;=$D18,K$4&lt;=$E18),"■","")</x:f>
        <x:v>■</x:v>
      </x:c>
      <x:c r="L18" s="74" t="str">
        <x:f>IF(AND(L$4&gt;=$D18,L$4&lt;=$E18),"■","")</x:f>
      </x:c>
      <x:c r="M18" s="74" t="str">
        <x:f>IF(AND(M$4&gt;=$D18,M$4&lt;=$E18),"■","")</x:f>
      </x:c>
      <x:c r="N18" s="74" t="str">
        <x:f>IF(AND(N$4&gt;=$D18,N$4&lt;=$E18),"■","")</x:f>
      </x:c>
      <x:c r="O18" s="74" t="str">
        <x:f>IF(AND(O$4&gt;=$D18,O$4&lt;=$E18),"■","")</x:f>
      </x:c>
      <x:c r="P18" s="74" t="str">
        <x:f>IF(AND(P$4&gt;=$D18,P$4&lt;=$E18),"■","")</x:f>
      </x:c>
      <x:c r="Q18" s="74" t="str">
        <x:f>IF(AND(Q$4&gt;=$D18,Q$4&lt;=$E18),"■","")</x:f>
      </x:c>
      <x:c r="R18" s="74" t="str">
        <x:f>IF(AND(R$4&gt;=$D18,R$4&lt;=$E18),"■","")</x:f>
      </x:c>
      <x:c r="S18" s="74" t="str">
        <x:f>IF(AND(S$4&gt;=$D18,S$4&lt;=$E18),"■","")</x:f>
      </x:c>
      <x:c r="T18" s="74" t="str">
        <x:f>IF(AND(T$4&gt;=$D18,T$4&lt;=$E18),"■","")</x:f>
      </x:c>
      <x:c r="U18" s="74" t="str">
        <x:f>IF(AND(U$4&gt;=$D18,U$4&lt;=$E18),"■","")</x:f>
      </x:c>
      <x:c r="V18" s="74" t="str">
        <x:f>IF(AND(V$4&gt;=$D18,V$4&lt;=$E18),"■","")</x:f>
      </x:c>
      <x:c r="W18" s="74" t="str">
        <x:f>IF(AND(W$4&gt;=$D18,W$4&lt;=$E18),"■","")</x:f>
      </x:c>
      <x:c r="X18" s="74" t="str">
        <x:f>IF(AND(X$4&gt;=$D18,X$4&lt;=$E18),"■","")</x:f>
      </x:c>
      <x:c r="Y18" s="82" t="str">
        <x:f>IF(AND(Y$4&gt;=$D18,Y$4&lt;=$E18),"■","")</x:f>
      </x:c>
    </x:row>
    <x:row r="19">
      <x:c r="A19" s="81" t="str">
        <x:v>1.3.4</x:v>
      </x:c>
      <x:c r="B19" s="66" t="str">
        <x:v>Unidad 1</x:v>
      </x:c>
      <x:c r="C19" s="64" t="str">
        <x:v>Reglas de negocio</x:v>
      </x:c>
      <x:c r="D19" s="66" t="n">
        <x:v>3</x:v>
      </x:c>
      <x:c r="E19" s="66" t="n">
        <x:v>4</x:v>
      </x:c>
      <x:c r="F19" s="64" t="str">
        <x:v>1.2.5</x:v>
      </x:c>
      <x:c r="G19" s="64" t="str">
        <x:v>Reglas iniciales</x:v>
      </x:c>
      <x:c r="H19" s="74" t="str">
        <x:f>IF(AND(H$4&gt;=$D19,H$4&lt;=$E19),"■","")</x:f>
      </x:c>
      <x:c r="I19" s="74" t="str">
        <x:f>IF(AND(I$4&gt;=$D19,I$4&lt;=$E19),"■","")</x:f>
      </x:c>
      <x:c r="J19" s="74" t="str">
        <x:f>IF(AND(J$4&gt;=$D19,J$4&lt;=$E19),"■","")</x:f>
        <x:v>■</x:v>
      </x:c>
      <x:c r="K19" s="74" t="str">
        <x:f>IF(AND(K$4&gt;=$D19,K$4&lt;=$E19),"■","")</x:f>
        <x:v>■</x:v>
      </x:c>
      <x:c r="L19" s="74" t="str">
        <x:f>IF(AND(L$4&gt;=$D19,L$4&lt;=$E19),"■","")</x:f>
      </x:c>
      <x:c r="M19" s="74" t="str">
        <x:f>IF(AND(M$4&gt;=$D19,M$4&lt;=$E19),"■","")</x:f>
      </x:c>
      <x:c r="N19" s="74" t="str">
        <x:f>IF(AND(N$4&gt;=$D19,N$4&lt;=$E19),"■","")</x:f>
      </x:c>
      <x:c r="O19" s="74" t="str">
        <x:f>IF(AND(O$4&gt;=$D19,O$4&lt;=$E19),"■","")</x:f>
      </x:c>
      <x:c r="P19" s="74" t="str">
        <x:f>IF(AND(P$4&gt;=$D19,P$4&lt;=$E19),"■","")</x:f>
      </x:c>
      <x:c r="Q19" s="74" t="str">
        <x:f>IF(AND(Q$4&gt;=$D19,Q$4&lt;=$E19),"■","")</x:f>
      </x:c>
      <x:c r="R19" s="74" t="str">
        <x:f>IF(AND(R$4&gt;=$D19,R$4&lt;=$E19),"■","")</x:f>
      </x:c>
      <x:c r="S19" s="74" t="str">
        <x:f>IF(AND(S$4&gt;=$D19,S$4&lt;=$E19),"■","")</x:f>
      </x:c>
      <x:c r="T19" s="74" t="str">
        <x:f>IF(AND(T$4&gt;=$D19,T$4&lt;=$E19),"■","")</x:f>
      </x:c>
      <x:c r="U19" s="74" t="str">
        <x:f>IF(AND(U$4&gt;=$D19,U$4&lt;=$E19),"■","")</x:f>
      </x:c>
      <x:c r="V19" s="74" t="str">
        <x:f>IF(AND(V$4&gt;=$D19,V$4&lt;=$E19),"■","")</x:f>
      </x:c>
      <x:c r="W19" s="74" t="str">
        <x:f>IF(AND(W$4&gt;=$D19,W$4&lt;=$E19),"■","")</x:f>
      </x:c>
      <x:c r="X19" s="74" t="str">
        <x:f>IF(AND(X$4&gt;=$D19,X$4&lt;=$E19),"■","")</x:f>
      </x:c>
      <x:c r="Y19" s="82" t="str">
        <x:f>IF(AND(Y$4&gt;=$D19,Y$4&lt;=$E19),"■","")</x:f>
      </x:c>
    </x:row>
    <x:row r="20">
      <x:c r="A20" s="81" t="str">
        <x:v>1.3.5</x:v>
      </x:c>
      <x:c r="B20" s="66" t="str">
        <x:v>Unidad 1</x:v>
      </x:c>
      <x:c r="C20" s="64" t="str">
        <x:v>Priorización MVP</x:v>
      </x:c>
      <x:c r="D20" s="66" t="n">
        <x:v>4</x:v>
      </x:c>
      <x:c r="E20" s="66" t="n">
        <x:v>4</x:v>
      </x:c>
      <x:c r="F20" s="64" t="str">
        <x:v>1.3.2–1.3.4</x:v>
      </x:c>
      <x:c r="G20" s="64" t="str">
        <x:v>Alcance priorizado</x:v>
      </x:c>
      <x:c r="H20" s="74" t="str">
        <x:f>IF(AND(H$4&gt;=$D20,H$4&lt;=$E20),"■","")</x:f>
      </x:c>
      <x:c r="I20" s="74" t="str">
        <x:f>IF(AND(I$4&gt;=$D20,I$4&lt;=$E20),"■","")</x:f>
      </x:c>
      <x:c r="J20" s="74" t="str">
        <x:f>IF(AND(J$4&gt;=$D20,J$4&lt;=$E20),"■","")</x:f>
      </x:c>
      <x:c r="K20" s="74" t="str">
        <x:f>IF(AND(K$4&gt;=$D20,K$4&lt;=$E20),"■","")</x:f>
        <x:v>■</x:v>
      </x:c>
      <x:c r="L20" s="74" t="str">
        <x:f>IF(AND(L$4&gt;=$D20,L$4&lt;=$E20),"■","")</x:f>
      </x:c>
      <x:c r="M20" s="74" t="str">
        <x:f>IF(AND(M$4&gt;=$D20,M$4&lt;=$E20),"■","")</x:f>
      </x:c>
      <x:c r="N20" s="74" t="str">
        <x:f>IF(AND(N$4&gt;=$D20,N$4&lt;=$E20),"■","")</x:f>
      </x:c>
      <x:c r="O20" s="74" t="str">
        <x:f>IF(AND(O$4&gt;=$D20,O$4&lt;=$E20),"■","")</x:f>
      </x:c>
      <x:c r="P20" s="74" t="str">
        <x:f>IF(AND(P$4&gt;=$D20,P$4&lt;=$E20),"■","")</x:f>
      </x:c>
      <x:c r="Q20" s="74" t="str">
        <x:f>IF(AND(Q$4&gt;=$D20,Q$4&lt;=$E20),"■","")</x:f>
      </x:c>
      <x:c r="R20" s="74" t="str">
        <x:f>IF(AND(R$4&gt;=$D20,R$4&lt;=$E20),"■","")</x:f>
      </x:c>
      <x:c r="S20" s="74" t="str">
        <x:f>IF(AND(S$4&gt;=$D20,S$4&lt;=$E20),"■","")</x:f>
      </x:c>
      <x:c r="T20" s="74" t="str">
        <x:f>IF(AND(T$4&gt;=$D20,T$4&lt;=$E20),"■","")</x:f>
      </x:c>
      <x:c r="U20" s="74" t="str">
        <x:f>IF(AND(U$4&gt;=$D20,U$4&lt;=$E20),"■","")</x:f>
      </x:c>
      <x:c r="V20" s="74" t="str">
        <x:f>IF(AND(V$4&gt;=$D20,V$4&lt;=$E20),"■","")</x:f>
      </x:c>
      <x:c r="W20" s="74" t="str">
        <x:f>IF(AND(W$4&gt;=$D20,W$4&lt;=$E20),"■","")</x:f>
      </x:c>
      <x:c r="X20" s="74" t="str">
        <x:f>IF(AND(X$4&gt;=$D20,X$4&lt;=$E20),"■","")</x:f>
      </x:c>
      <x:c r="Y20" s="82" t="str">
        <x:f>IF(AND(Y$4&gt;=$D20,Y$4&lt;=$E20),"■","")</x:f>
      </x:c>
    </x:row>
    <x:row r="21">
      <x:c r="A21" s="81" t="str">
        <x:v>1.3.6</x:v>
      </x:c>
      <x:c r="B21" s="66" t="str">
        <x:v>Unidad 1</x:v>
      </x:c>
      <x:c r="C21" s="64" t="str">
        <x:v>PRD</x:v>
      </x:c>
      <x:c r="D21" s="66" t="n">
        <x:v>4</x:v>
      </x:c>
      <x:c r="E21" s="66" t="n">
        <x:v>5</x:v>
      </x:c>
      <x:c r="F21" s="64" t="str">
        <x:v>1.2.6, 1.3.5</x:v>
      </x:c>
      <x:c r="G21" s="64" t="str">
        <x:v>01-PRD.md</x:v>
      </x:c>
      <x:c r="H21" s="74" t="str">
        <x:f>IF(AND(H$4&gt;=$D21,H$4&lt;=$E21),"■","")</x:f>
      </x:c>
      <x:c r="I21" s="74" t="str">
        <x:f>IF(AND(I$4&gt;=$D21,I$4&lt;=$E21),"■","")</x:f>
      </x:c>
      <x:c r="J21" s="74" t="str">
        <x:f>IF(AND(J$4&gt;=$D21,J$4&lt;=$E21),"■","")</x:f>
      </x:c>
      <x:c r="K21" s="74" t="str">
        <x:f>IF(AND(K$4&gt;=$D21,K$4&lt;=$E21),"■","")</x:f>
        <x:v>■</x:v>
      </x:c>
      <x:c r="L21" s="74" t="str">
        <x:f>IF(AND(L$4&gt;=$D21,L$4&lt;=$E21),"■","")</x:f>
        <x:v>■</x:v>
      </x:c>
      <x:c r="M21" s="74" t="str">
        <x:f>IF(AND(M$4&gt;=$D21,M$4&lt;=$E21),"■","")</x:f>
      </x:c>
      <x:c r="N21" s="74" t="str">
        <x:f>IF(AND(N$4&gt;=$D21,N$4&lt;=$E21),"■","")</x:f>
      </x:c>
      <x:c r="O21" s="74" t="str">
        <x:f>IF(AND(O$4&gt;=$D21,O$4&lt;=$E21),"■","")</x:f>
      </x:c>
      <x:c r="P21" s="74" t="str">
        <x:f>IF(AND(P$4&gt;=$D21,P$4&lt;=$E21),"■","")</x:f>
      </x:c>
      <x:c r="Q21" s="74" t="str">
        <x:f>IF(AND(Q$4&gt;=$D21,Q$4&lt;=$E21),"■","")</x:f>
      </x:c>
      <x:c r="R21" s="74" t="str">
        <x:f>IF(AND(R$4&gt;=$D21,R$4&lt;=$E21),"■","")</x:f>
      </x:c>
      <x:c r="S21" s="74" t="str">
        <x:f>IF(AND(S$4&gt;=$D21,S$4&lt;=$E21),"■","")</x:f>
      </x:c>
      <x:c r="T21" s="74" t="str">
        <x:f>IF(AND(T$4&gt;=$D21,T$4&lt;=$E21),"■","")</x:f>
      </x:c>
      <x:c r="U21" s="74" t="str">
        <x:f>IF(AND(U$4&gt;=$D21,U$4&lt;=$E21),"■","")</x:f>
      </x:c>
      <x:c r="V21" s="74" t="str">
        <x:f>IF(AND(V$4&gt;=$D21,V$4&lt;=$E21),"■","")</x:f>
      </x:c>
      <x:c r="W21" s="74" t="str">
        <x:f>IF(AND(W$4&gt;=$D21,W$4&lt;=$E21),"■","")</x:f>
      </x:c>
      <x:c r="X21" s="74" t="str">
        <x:f>IF(AND(X$4&gt;=$D21,X$4&lt;=$E21),"■","")</x:f>
      </x:c>
      <x:c r="Y21" s="82" t="str">
        <x:f>IF(AND(Y$4&gt;=$D21,Y$4&lt;=$E21),"■","")</x:f>
      </x:c>
    </x:row>
    <x:row r="22">
      <x:c r="A22" s="81" t="str">
        <x:v>1.4.1</x:v>
      </x:c>
      <x:c r="B22" s="66" t="str">
        <x:v>Unidad 2</x:v>
      </x:c>
      <x:c r="C22" s="64" t="str">
        <x:v>BPMN AS-IS</x:v>
      </x:c>
      <x:c r="D22" s="66" t="n">
        <x:v>5</x:v>
      </x:c>
      <x:c r="E22" s="66" t="n">
        <x:v>5</x:v>
      </x:c>
      <x:c r="F22" s="64" t="str">
        <x:v>1.2.6</x:v>
      </x:c>
      <x:c r="G22" s="64" t="str">
        <x:v>Proceso actual validado</x:v>
      </x:c>
      <x:c r="H22" s="74" t="str">
        <x:f>IF(AND(H$4&gt;=$D22,H$4&lt;=$E22),"■","")</x:f>
      </x:c>
      <x:c r="I22" s="74" t="str">
        <x:f>IF(AND(I$4&gt;=$D22,I$4&lt;=$E22),"■","")</x:f>
      </x:c>
      <x:c r="J22" s="74" t="str">
        <x:f>IF(AND(J$4&gt;=$D22,J$4&lt;=$E22),"■","")</x:f>
      </x:c>
      <x:c r="K22" s="74" t="str">
        <x:f>IF(AND(K$4&gt;=$D22,K$4&lt;=$E22),"■","")</x:f>
      </x:c>
      <x:c r="L22" s="74" t="str">
        <x:f>IF(AND(L$4&gt;=$D22,L$4&lt;=$E22),"■","")</x:f>
        <x:v>■</x:v>
      </x:c>
      <x:c r="M22" s="74" t="str">
        <x:f>IF(AND(M$4&gt;=$D22,M$4&lt;=$E22),"■","")</x:f>
      </x:c>
      <x:c r="N22" s="74" t="str">
        <x:f>IF(AND(N$4&gt;=$D22,N$4&lt;=$E22),"■","")</x:f>
      </x:c>
      <x:c r="O22" s="74" t="str">
        <x:f>IF(AND(O$4&gt;=$D22,O$4&lt;=$E22),"■","")</x:f>
      </x:c>
      <x:c r="P22" s="74" t="str">
        <x:f>IF(AND(P$4&gt;=$D22,P$4&lt;=$E22),"■","")</x:f>
      </x:c>
      <x:c r="Q22" s="74" t="str">
        <x:f>IF(AND(Q$4&gt;=$D22,Q$4&lt;=$E22),"■","")</x:f>
      </x:c>
      <x:c r="R22" s="74" t="str">
        <x:f>IF(AND(R$4&gt;=$D22,R$4&lt;=$E22),"■","")</x:f>
      </x:c>
      <x:c r="S22" s="74" t="str">
        <x:f>IF(AND(S$4&gt;=$D22,S$4&lt;=$E22),"■","")</x:f>
      </x:c>
      <x:c r="T22" s="74" t="str">
        <x:f>IF(AND(T$4&gt;=$D22,T$4&lt;=$E22),"■","")</x:f>
      </x:c>
      <x:c r="U22" s="74" t="str">
        <x:f>IF(AND(U$4&gt;=$D22,U$4&lt;=$E22),"■","")</x:f>
      </x:c>
      <x:c r="V22" s="74" t="str">
        <x:f>IF(AND(V$4&gt;=$D22,V$4&lt;=$E22),"■","")</x:f>
      </x:c>
      <x:c r="W22" s="74" t="str">
        <x:f>IF(AND(W$4&gt;=$D22,W$4&lt;=$E22),"■","")</x:f>
      </x:c>
      <x:c r="X22" s="74" t="str">
        <x:f>IF(AND(X$4&gt;=$D22,X$4&lt;=$E22),"■","")</x:f>
      </x:c>
      <x:c r="Y22" s="82" t="str">
        <x:f>IF(AND(Y$4&gt;=$D22,Y$4&lt;=$E22),"■","")</x:f>
      </x:c>
    </x:row>
    <x:row r="23">
      <x:c r="A23" s="81" t="str">
        <x:v>1.4.2</x:v>
      </x:c>
      <x:c r="B23" s="66" t="str">
        <x:v>Unidad 2</x:v>
      </x:c>
      <x:c r="C23" s="64" t="str">
        <x:v>BPMN TO-BE</x:v>
      </x:c>
      <x:c r="D23" s="66" t="n">
        <x:v>5</x:v>
      </x:c>
      <x:c r="E23" s="66" t="n">
        <x:v>6</x:v>
      </x:c>
      <x:c r="F23" s="64" t="str">
        <x:v>1.4.1, 1.3.6</x:v>
      </x:c>
      <x:c r="G23" s="64" t="str">
        <x:v>Proceso objetivo</x:v>
      </x:c>
      <x:c r="H23" s="74" t="str">
        <x:f>IF(AND(H$4&gt;=$D23,H$4&lt;=$E23),"■","")</x:f>
      </x:c>
      <x:c r="I23" s="74" t="str">
        <x:f>IF(AND(I$4&gt;=$D23,I$4&lt;=$E23),"■","")</x:f>
      </x:c>
      <x:c r="J23" s="74" t="str">
        <x:f>IF(AND(J$4&gt;=$D23,J$4&lt;=$E23),"■","")</x:f>
      </x:c>
      <x:c r="K23" s="74" t="str">
        <x:f>IF(AND(K$4&gt;=$D23,K$4&lt;=$E23),"■","")</x:f>
      </x:c>
      <x:c r="L23" s="74" t="str">
        <x:f>IF(AND(L$4&gt;=$D23,L$4&lt;=$E23),"■","")</x:f>
        <x:v>■</x:v>
      </x:c>
      <x:c r="M23" s="74" t="str">
        <x:f>IF(AND(M$4&gt;=$D23,M$4&lt;=$E23),"■","")</x:f>
        <x:v>■</x:v>
      </x:c>
      <x:c r="N23" s="74" t="str">
        <x:f>IF(AND(N$4&gt;=$D23,N$4&lt;=$E23),"■","")</x:f>
      </x:c>
      <x:c r="O23" s="74" t="str">
        <x:f>IF(AND(O$4&gt;=$D23,O$4&lt;=$E23),"■","")</x:f>
      </x:c>
      <x:c r="P23" s="74" t="str">
        <x:f>IF(AND(P$4&gt;=$D23,P$4&lt;=$E23),"■","")</x:f>
      </x:c>
      <x:c r="Q23" s="74" t="str">
        <x:f>IF(AND(Q$4&gt;=$D23,Q$4&lt;=$E23),"■","")</x:f>
      </x:c>
      <x:c r="R23" s="74" t="str">
        <x:f>IF(AND(R$4&gt;=$D23,R$4&lt;=$E23),"■","")</x:f>
      </x:c>
      <x:c r="S23" s="74" t="str">
        <x:f>IF(AND(S$4&gt;=$D23,S$4&lt;=$E23),"■","")</x:f>
      </x:c>
      <x:c r="T23" s="74" t="str">
        <x:f>IF(AND(T$4&gt;=$D23,T$4&lt;=$E23),"■","")</x:f>
      </x:c>
      <x:c r="U23" s="74" t="str">
        <x:f>IF(AND(U$4&gt;=$D23,U$4&lt;=$E23),"■","")</x:f>
      </x:c>
      <x:c r="V23" s="74" t="str">
        <x:f>IF(AND(V$4&gt;=$D23,V$4&lt;=$E23),"■","")</x:f>
      </x:c>
      <x:c r="W23" s="74" t="str">
        <x:f>IF(AND(W$4&gt;=$D23,W$4&lt;=$E23),"■","")</x:f>
      </x:c>
      <x:c r="X23" s="74" t="str">
        <x:f>IF(AND(X$4&gt;=$D23,X$4&lt;=$E23),"■","")</x:f>
      </x:c>
      <x:c r="Y23" s="82" t="str">
        <x:f>IF(AND(Y$4&gt;=$D23,Y$4&lt;=$E23),"■","")</x:f>
      </x:c>
    </x:row>
    <x:row r="24">
      <x:c r="A24" s="81" t="str">
        <x:v>1.4.3</x:v>
      </x:c>
      <x:c r="B24" s="66" t="str">
        <x:v>Unidad 2</x:v>
      </x:c>
      <x:c r="C24" s="64" t="str">
        <x:v>App Flow</x:v>
      </x:c>
      <x:c r="D24" s="66" t="n">
        <x:v>5</x:v>
      </x:c>
      <x:c r="E24" s="66" t="n">
        <x:v>6</x:v>
      </x:c>
      <x:c r="F24" s="64" t="str">
        <x:v>1.3.6, 1.4.2</x:v>
      </x:c>
      <x:c r="G24" s="64" t="str">
        <x:v>03-APP-FLOW.md</x:v>
      </x:c>
      <x:c r="H24" s="74" t="str">
        <x:f>IF(AND(H$4&gt;=$D24,H$4&lt;=$E24),"■","")</x:f>
      </x:c>
      <x:c r="I24" s="74" t="str">
        <x:f>IF(AND(I$4&gt;=$D24,I$4&lt;=$E24),"■","")</x:f>
      </x:c>
      <x:c r="J24" s="74" t="str">
        <x:f>IF(AND(J$4&gt;=$D24,J$4&lt;=$E24),"■","")</x:f>
      </x:c>
      <x:c r="K24" s="74" t="str">
        <x:f>IF(AND(K$4&gt;=$D24,K$4&lt;=$E24),"■","")</x:f>
      </x:c>
      <x:c r="L24" s="74" t="str">
        <x:f>IF(AND(L$4&gt;=$D24,L$4&lt;=$E24),"■","")</x:f>
        <x:v>■</x:v>
      </x:c>
      <x:c r="M24" s="74" t="str">
        <x:f>IF(AND(M$4&gt;=$D24,M$4&lt;=$E24),"■","")</x:f>
        <x:v>■</x:v>
      </x:c>
      <x:c r="N24" s="74" t="str">
        <x:f>IF(AND(N$4&gt;=$D24,N$4&lt;=$E24),"■","")</x:f>
      </x:c>
      <x:c r="O24" s="74" t="str">
        <x:f>IF(AND(O$4&gt;=$D24,O$4&lt;=$E24),"■","")</x:f>
      </x:c>
      <x:c r="P24" s="74" t="str">
        <x:f>IF(AND(P$4&gt;=$D24,P$4&lt;=$E24),"■","")</x:f>
      </x:c>
      <x:c r="Q24" s="74" t="str">
        <x:f>IF(AND(Q$4&gt;=$D24,Q$4&lt;=$E24),"■","")</x:f>
      </x:c>
      <x:c r="R24" s="74" t="str">
        <x:f>IF(AND(R$4&gt;=$D24,R$4&lt;=$E24),"■","")</x:f>
      </x:c>
      <x:c r="S24" s="74" t="str">
        <x:f>IF(AND(S$4&gt;=$D24,S$4&lt;=$E24),"■","")</x:f>
      </x:c>
      <x:c r="T24" s="74" t="str">
        <x:f>IF(AND(T$4&gt;=$D24,T$4&lt;=$E24),"■","")</x:f>
      </x:c>
      <x:c r="U24" s="74" t="str">
        <x:f>IF(AND(U$4&gt;=$D24,U$4&lt;=$E24),"■","")</x:f>
      </x:c>
      <x:c r="V24" s="74" t="str">
        <x:f>IF(AND(V$4&gt;=$D24,V$4&lt;=$E24),"■","")</x:f>
      </x:c>
      <x:c r="W24" s="74" t="str">
        <x:f>IF(AND(W$4&gt;=$D24,W$4&lt;=$E24),"■","")</x:f>
      </x:c>
      <x:c r="X24" s="74" t="str">
        <x:f>IF(AND(X$4&gt;=$D24,X$4&lt;=$E24),"■","")</x:f>
      </x:c>
      <x:c r="Y24" s="82" t="str">
        <x:f>IF(AND(Y$4&gt;=$D24,Y$4&lt;=$E24),"■","")</x:f>
      </x:c>
    </x:row>
    <x:row r="25">
      <x:c r="A25" s="81" t="str">
        <x:v>1.4.4</x:v>
      </x:c>
      <x:c r="B25" s="66" t="str">
        <x:v>Unidad 2</x:v>
      </x:c>
      <x:c r="C25" s="64" t="str">
        <x:v>Diseño UI/UX</x:v>
      </x:c>
      <x:c r="D25" s="66" t="n">
        <x:v>6</x:v>
      </x:c>
      <x:c r="E25" s="66" t="n">
        <x:v>7</x:v>
      </x:c>
      <x:c r="F25" s="64" t="str">
        <x:v>1.4.3</x:v>
      </x:c>
      <x:c r="G25" s="64" t="str">
        <x:v>Flujos y componentes</x:v>
      </x:c>
      <x:c r="H25" s="74" t="str">
        <x:f>IF(AND(H$4&gt;=$D25,H$4&lt;=$E25),"■","")</x:f>
      </x:c>
      <x:c r="I25" s="74" t="str">
        <x:f>IF(AND(I$4&gt;=$D25,I$4&lt;=$E25),"■","")</x:f>
      </x:c>
      <x:c r="J25" s="74" t="str">
        <x:f>IF(AND(J$4&gt;=$D25,J$4&lt;=$E25),"■","")</x:f>
      </x:c>
      <x:c r="K25" s="74" t="str">
        <x:f>IF(AND(K$4&gt;=$D25,K$4&lt;=$E25),"■","")</x:f>
      </x:c>
      <x:c r="L25" s="74" t="str">
        <x:f>IF(AND(L$4&gt;=$D25,L$4&lt;=$E25),"■","")</x:f>
      </x:c>
      <x:c r="M25" s="74" t="str">
        <x:f>IF(AND(M$4&gt;=$D25,M$4&lt;=$E25),"■","")</x:f>
        <x:v>■</x:v>
      </x:c>
      <x:c r="N25" s="74" t="str">
        <x:f>IF(AND(N$4&gt;=$D25,N$4&lt;=$E25),"■","")</x:f>
        <x:v>■</x:v>
      </x:c>
      <x:c r="O25" s="74" t="str">
        <x:f>IF(AND(O$4&gt;=$D25,O$4&lt;=$E25),"■","")</x:f>
      </x:c>
      <x:c r="P25" s="74" t="str">
        <x:f>IF(AND(P$4&gt;=$D25,P$4&lt;=$E25),"■","")</x:f>
      </x:c>
      <x:c r="Q25" s="74" t="str">
        <x:f>IF(AND(Q$4&gt;=$D25,Q$4&lt;=$E25),"■","")</x:f>
      </x:c>
      <x:c r="R25" s="74" t="str">
        <x:f>IF(AND(R$4&gt;=$D25,R$4&lt;=$E25),"■","")</x:f>
      </x:c>
      <x:c r="S25" s="74" t="str">
        <x:f>IF(AND(S$4&gt;=$D25,S$4&lt;=$E25),"■","")</x:f>
      </x:c>
      <x:c r="T25" s="74" t="str">
        <x:f>IF(AND(T$4&gt;=$D25,T$4&lt;=$E25),"■","")</x:f>
      </x:c>
      <x:c r="U25" s="74" t="str">
        <x:f>IF(AND(U$4&gt;=$D25,U$4&lt;=$E25),"■","")</x:f>
      </x:c>
      <x:c r="V25" s="74" t="str">
        <x:f>IF(AND(V$4&gt;=$D25,V$4&lt;=$E25),"■","")</x:f>
      </x:c>
      <x:c r="W25" s="74" t="str">
        <x:f>IF(AND(W$4&gt;=$D25,W$4&lt;=$E25),"■","")</x:f>
      </x:c>
      <x:c r="X25" s="74" t="str">
        <x:f>IF(AND(X$4&gt;=$D25,X$4&lt;=$E25),"■","")</x:f>
      </x:c>
      <x:c r="Y25" s="82" t="str">
        <x:f>IF(AND(Y$4&gt;=$D25,Y$4&lt;=$E25),"■","")</x:f>
      </x:c>
    </x:row>
    <x:row r="26">
      <x:c r="A26" s="81" t="str">
        <x:v>1.4.5</x:v>
      </x:c>
      <x:c r="B26" s="66" t="str">
        <x:v>Unidad 2</x:v>
      </x:c>
      <x:c r="C26" s="64" t="str">
        <x:v>Accesibilidad</x:v>
      </x:c>
      <x:c r="D26" s="66" t="n">
        <x:v>6</x:v>
      </x:c>
      <x:c r="E26" s="66" t="n">
        <x:v>7</x:v>
      </x:c>
      <x:c r="F26" s="64" t="str">
        <x:v>1.4.4</x:v>
      </x:c>
      <x:c r="G26" s="64" t="str">
        <x:v>Criterios WCAG y temas</x:v>
      </x:c>
      <x:c r="H26" s="74" t="str">
        <x:f>IF(AND(H$4&gt;=$D26,H$4&lt;=$E26),"■","")</x:f>
      </x:c>
      <x:c r="I26" s="74" t="str">
        <x:f>IF(AND(I$4&gt;=$D26,I$4&lt;=$E26),"■","")</x:f>
      </x:c>
      <x:c r="J26" s="74" t="str">
        <x:f>IF(AND(J$4&gt;=$D26,J$4&lt;=$E26),"■","")</x:f>
      </x:c>
      <x:c r="K26" s="74" t="str">
        <x:f>IF(AND(K$4&gt;=$D26,K$4&lt;=$E26),"■","")</x:f>
      </x:c>
      <x:c r="L26" s="74" t="str">
        <x:f>IF(AND(L$4&gt;=$D26,L$4&lt;=$E26),"■","")</x:f>
      </x:c>
      <x:c r="M26" s="74" t="str">
        <x:f>IF(AND(M$4&gt;=$D26,M$4&lt;=$E26),"■","")</x:f>
        <x:v>■</x:v>
      </x:c>
      <x:c r="N26" s="74" t="str">
        <x:f>IF(AND(N$4&gt;=$D26,N$4&lt;=$E26),"■","")</x:f>
        <x:v>■</x:v>
      </x:c>
      <x:c r="O26" s="74" t="str">
        <x:f>IF(AND(O$4&gt;=$D26,O$4&lt;=$E26),"■","")</x:f>
      </x:c>
      <x:c r="P26" s="74" t="str">
        <x:f>IF(AND(P$4&gt;=$D26,P$4&lt;=$E26),"■","")</x:f>
      </x:c>
      <x:c r="Q26" s="74" t="str">
        <x:f>IF(AND(Q$4&gt;=$D26,Q$4&lt;=$E26),"■","")</x:f>
      </x:c>
      <x:c r="R26" s="74" t="str">
        <x:f>IF(AND(R$4&gt;=$D26,R$4&lt;=$E26),"■","")</x:f>
      </x:c>
      <x:c r="S26" s="74" t="str">
        <x:f>IF(AND(S$4&gt;=$D26,S$4&lt;=$E26),"■","")</x:f>
      </x:c>
      <x:c r="T26" s="74" t="str">
        <x:f>IF(AND(T$4&gt;=$D26,T$4&lt;=$E26),"■","")</x:f>
      </x:c>
      <x:c r="U26" s="74" t="str">
        <x:f>IF(AND(U$4&gt;=$D26,U$4&lt;=$E26),"■","")</x:f>
      </x:c>
      <x:c r="V26" s="74" t="str">
        <x:f>IF(AND(V$4&gt;=$D26,V$4&lt;=$E26),"■","")</x:f>
      </x:c>
      <x:c r="W26" s="74" t="str">
        <x:f>IF(AND(W$4&gt;=$D26,W$4&lt;=$E26),"■","")</x:f>
      </x:c>
      <x:c r="X26" s="74" t="str">
        <x:f>IF(AND(X$4&gt;=$D26,X$4&lt;=$E26),"■","")</x:f>
      </x:c>
      <x:c r="Y26" s="82" t="str">
        <x:f>IF(AND(Y$4&gt;=$D26,Y$4&lt;=$E26),"■","")</x:f>
      </x:c>
    </x:row>
    <x:row r="27">
      <x:c r="A27" s="81" t="str">
        <x:v>1.4.6</x:v>
      </x:c>
      <x:c r="B27" s="66" t="str">
        <x:v>Unidad 2</x:v>
      </x:c>
      <x:c r="C27" s="64" t="str">
        <x:v>Prototipos</x:v>
      </x:c>
      <x:c r="D27" s="66" t="n">
        <x:v>7</x:v>
      </x:c>
      <x:c r="E27" s="66" t="n">
        <x:v>8</x:v>
      </x:c>
      <x:c r="F27" s="64" t="str">
        <x:v>1.4.4–1.4.5</x:v>
      </x:c>
      <x:c r="G27" s="64" t="str">
        <x:v>Prototipos web/mobile</x:v>
      </x:c>
      <x:c r="H27" s="74" t="str">
        <x:f>IF(AND(H$4&gt;=$D27,H$4&lt;=$E27),"■","")</x:f>
      </x:c>
      <x:c r="I27" s="74" t="str">
        <x:f>IF(AND(I$4&gt;=$D27,I$4&lt;=$E27),"■","")</x:f>
      </x:c>
      <x:c r="J27" s="74" t="str">
        <x:f>IF(AND(J$4&gt;=$D27,J$4&lt;=$E27),"■","")</x:f>
      </x:c>
      <x:c r="K27" s="74" t="str">
        <x:f>IF(AND(K$4&gt;=$D27,K$4&lt;=$E27),"■","")</x:f>
      </x:c>
      <x:c r="L27" s="74" t="str">
        <x:f>IF(AND(L$4&gt;=$D27,L$4&lt;=$E27),"■","")</x:f>
      </x:c>
      <x:c r="M27" s="74" t="str">
        <x:f>IF(AND(M$4&gt;=$D27,M$4&lt;=$E27),"■","")</x:f>
      </x:c>
      <x:c r="N27" s="74" t="str">
        <x:f>IF(AND(N$4&gt;=$D27,N$4&lt;=$E27),"■","")</x:f>
        <x:v>■</x:v>
      </x:c>
      <x:c r="O27" s="74" t="str">
        <x:f>IF(AND(O$4&gt;=$D27,O$4&lt;=$E27),"■","")</x:f>
        <x:v>■</x:v>
      </x:c>
      <x:c r="P27" s="74" t="str">
        <x:f>IF(AND(P$4&gt;=$D27,P$4&lt;=$E27),"■","")</x:f>
      </x:c>
      <x:c r="Q27" s="74" t="str">
        <x:f>IF(AND(Q$4&gt;=$D27,Q$4&lt;=$E27),"■","")</x:f>
      </x:c>
      <x:c r="R27" s="74" t="str">
        <x:f>IF(AND(R$4&gt;=$D27,R$4&lt;=$E27),"■","")</x:f>
      </x:c>
      <x:c r="S27" s="74" t="str">
        <x:f>IF(AND(S$4&gt;=$D27,S$4&lt;=$E27),"■","")</x:f>
      </x:c>
      <x:c r="T27" s="74" t="str">
        <x:f>IF(AND(T$4&gt;=$D27,T$4&lt;=$E27),"■","")</x:f>
      </x:c>
      <x:c r="U27" s="74" t="str">
        <x:f>IF(AND(U$4&gt;=$D27,U$4&lt;=$E27),"■","")</x:f>
      </x:c>
      <x:c r="V27" s="74" t="str">
        <x:f>IF(AND(V$4&gt;=$D27,V$4&lt;=$E27),"■","")</x:f>
      </x:c>
      <x:c r="W27" s="74" t="str">
        <x:f>IF(AND(W$4&gt;=$D27,W$4&lt;=$E27),"■","")</x:f>
      </x:c>
      <x:c r="X27" s="74" t="str">
        <x:f>IF(AND(X$4&gt;=$D27,X$4&lt;=$E27),"■","")</x:f>
      </x:c>
      <x:c r="Y27" s="82" t="str">
        <x:f>IF(AND(Y$4&gt;=$D27,Y$4&lt;=$E27),"■","")</x:f>
      </x:c>
    </x:row>
    <x:row r="28">
      <x:c r="A28" s="81" t="str">
        <x:v>1.5.1</x:v>
      </x:c>
      <x:c r="B28" s="66" t="str">
        <x:v>Unidad 2</x:v>
      </x:c>
      <x:c r="C28" s="64" t="str">
        <x:v>Arquitectura lógica</x:v>
      </x:c>
      <x:c r="D28" s="66" t="n">
        <x:v>5</x:v>
      </x:c>
      <x:c r="E28" s="66" t="n">
        <x:v>6</x:v>
      </x:c>
      <x:c r="F28" s="64" t="str">
        <x:v>1.3.6</x:v>
      </x:c>
      <x:c r="G28" s="64" t="str">
        <x:v>Módulos y límites</x:v>
      </x:c>
      <x:c r="H28" s="74" t="str">
        <x:f>IF(AND(H$4&gt;=$D28,H$4&lt;=$E28),"■","")</x:f>
      </x:c>
      <x:c r="I28" s="74" t="str">
        <x:f>IF(AND(I$4&gt;=$D28,I$4&lt;=$E28),"■","")</x:f>
      </x:c>
      <x:c r="J28" s="74" t="str">
        <x:f>IF(AND(J$4&gt;=$D28,J$4&lt;=$E28),"■","")</x:f>
      </x:c>
      <x:c r="K28" s="74" t="str">
        <x:f>IF(AND(K$4&gt;=$D28,K$4&lt;=$E28),"■","")</x:f>
      </x:c>
      <x:c r="L28" s="74" t="str">
        <x:f>IF(AND(L$4&gt;=$D28,L$4&lt;=$E28),"■","")</x:f>
        <x:v>■</x:v>
      </x:c>
      <x:c r="M28" s="74" t="str">
        <x:f>IF(AND(M$4&gt;=$D28,M$4&lt;=$E28),"■","")</x:f>
        <x:v>■</x:v>
      </x:c>
      <x:c r="N28" s="74" t="str">
        <x:f>IF(AND(N$4&gt;=$D28,N$4&lt;=$E28),"■","")</x:f>
      </x:c>
      <x:c r="O28" s="74" t="str">
        <x:f>IF(AND(O$4&gt;=$D28,O$4&lt;=$E28),"■","")</x:f>
      </x:c>
      <x:c r="P28" s="74" t="str">
        <x:f>IF(AND(P$4&gt;=$D28,P$4&lt;=$E28),"■","")</x:f>
      </x:c>
      <x:c r="Q28" s="74" t="str">
        <x:f>IF(AND(Q$4&gt;=$D28,Q$4&lt;=$E28),"■","")</x:f>
      </x:c>
      <x:c r="R28" s="74" t="str">
        <x:f>IF(AND(R$4&gt;=$D28,R$4&lt;=$E28),"■","")</x:f>
      </x:c>
      <x:c r="S28" s="74" t="str">
        <x:f>IF(AND(S$4&gt;=$D28,S$4&lt;=$E28),"■","")</x:f>
      </x:c>
      <x:c r="T28" s="74" t="str">
        <x:f>IF(AND(T$4&gt;=$D28,T$4&lt;=$E28),"■","")</x:f>
      </x:c>
      <x:c r="U28" s="74" t="str">
        <x:f>IF(AND(U$4&gt;=$D28,U$4&lt;=$E28),"■","")</x:f>
      </x:c>
      <x:c r="V28" s="74" t="str">
        <x:f>IF(AND(V$4&gt;=$D28,V$4&lt;=$E28),"■","")</x:f>
      </x:c>
      <x:c r="W28" s="74" t="str">
        <x:f>IF(AND(W$4&gt;=$D28,W$4&lt;=$E28),"■","")</x:f>
      </x:c>
      <x:c r="X28" s="74" t="str">
        <x:f>IF(AND(X$4&gt;=$D28,X$4&lt;=$E28),"■","")</x:f>
      </x:c>
      <x:c r="Y28" s="82" t="str">
        <x:f>IF(AND(Y$4&gt;=$D28,Y$4&lt;=$E28),"■","")</x:f>
      </x:c>
    </x:row>
    <x:row r="29">
      <x:c r="A29" s="81" t="str">
        <x:v>1.5.3</x:v>
      </x:c>
      <x:c r="B29" s="66" t="str">
        <x:v>Unidad 2</x:v>
      </x:c>
      <x:c r="C29" s="64" t="str">
        <x:v>TRD</x:v>
      </x:c>
      <x:c r="D29" s="66" t="n">
        <x:v>6</x:v>
      </x:c>
      <x:c r="E29" s="66" t="n">
        <x:v>7</x:v>
      </x:c>
      <x:c r="F29" s="64" t="str">
        <x:v>1.5.1</x:v>
      </x:c>
      <x:c r="G29" s="64" t="str">
        <x:v>02-TRD.md</x:v>
      </x:c>
      <x:c r="H29" s="74" t="str">
        <x:f>IF(AND(H$4&gt;=$D29,H$4&lt;=$E29),"■","")</x:f>
      </x:c>
      <x:c r="I29" s="74" t="str">
        <x:f>IF(AND(I$4&gt;=$D29,I$4&lt;=$E29),"■","")</x:f>
      </x:c>
      <x:c r="J29" s="74" t="str">
        <x:f>IF(AND(J$4&gt;=$D29,J$4&lt;=$E29),"■","")</x:f>
      </x:c>
      <x:c r="K29" s="74" t="str">
        <x:f>IF(AND(K$4&gt;=$D29,K$4&lt;=$E29),"■","")</x:f>
      </x:c>
      <x:c r="L29" s="74" t="str">
        <x:f>IF(AND(L$4&gt;=$D29,L$4&lt;=$E29),"■","")</x:f>
      </x:c>
      <x:c r="M29" s="74" t="str">
        <x:f>IF(AND(M$4&gt;=$D29,M$4&lt;=$E29),"■","")</x:f>
        <x:v>■</x:v>
      </x:c>
      <x:c r="N29" s="74" t="str">
        <x:f>IF(AND(N$4&gt;=$D29,N$4&lt;=$E29),"■","")</x:f>
        <x:v>■</x:v>
      </x:c>
      <x:c r="O29" s="74" t="str">
        <x:f>IF(AND(O$4&gt;=$D29,O$4&lt;=$E29),"■","")</x:f>
      </x:c>
      <x:c r="P29" s="74" t="str">
        <x:f>IF(AND(P$4&gt;=$D29,P$4&lt;=$E29),"■","")</x:f>
      </x:c>
      <x:c r="Q29" s="74" t="str">
        <x:f>IF(AND(Q$4&gt;=$D29,Q$4&lt;=$E29),"■","")</x:f>
      </x:c>
      <x:c r="R29" s="74" t="str">
        <x:f>IF(AND(R$4&gt;=$D29,R$4&lt;=$E29),"■","")</x:f>
      </x:c>
      <x:c r="S29" s="74" t="str">
        <x:f>IF(AND(S$4&gt;=$D29,S$4&lt;=$E29),"■","")</x:f>
      </x:c>
      <x:c r="T29" s="74" t="str">
        <x:f>IF(AND(T$4&gt;=$D29,T$4&lt;=$E29),"■","")</x:f>
      </x:c>
      <x:c r="U29" s="74" t="str">
        <x:f>IF(AND(U$4&gt;=$D29,U$4&lt;=$E29),"■","")</x:f>
      </x:c>
      <x:c r="V29" s="74" t="str">
        <x:f>IF(AND(V$4&gt;=$D29,V$4&lt;=$E29),"■","")</x:f>
      </x:c>
      <x:c r="W29" s="74" t="str">
        <x:f>IF(AND(W$4&gt;=$D29,W$4&lt;=$E29),"■","")</x:f>
      </x:c>
      <x:c r="X29" s="74" t="str">
        <x:f>IF(AND(X$4&gt;=$D29,X$4&lt;=$E29),"■","")</x:f>
      </x:c>
      <x:c r="Y29" s="82" t="str">
        <x:f>IF(AND(Y$4&gt;=$D29,Y$4&lt;=$E29),"■","")</x:f>
      </x:c>
    </x:row>
    <x:row r="30">
      <x:c r="A30" s="81" t="str">
        <x:v>1.5.4</x:v>
      </x:c>
      <x:c r="B30" s="66" t="str">
        <x:v>Unidad 2</x:v>
      </x:c>
      <x:c r="C30" s="64" t="str">
        <x:v>ADR iniciales</x:v>
      </x:c>
      <x:c r="D30" s="66" t="n">
        <x:v>6</x:v>
      </x:c>
      <x:c r="E30" s="66" t="n">
        <x:v>8</x:v>
      </x:c>
      <x:c r="F30" s="64" t="str">
        <x:v>1.5.1</x:v>
      </x:c>
      <x:c r="G30" s="64" t="str">
        <x:v>ADR críticos</x:v>
      </x:c>
      <x:c r="H30" s="74" t="str">
        <x:f>IF(AND(H$4&gt;=$D30,H$4&lt;=$E30),"■","")</x:f>
      </x:c>
      <x:c r="I30" s="74" t="str">
        <x:f>IF(AND(I$4&gt;=$D30,I$4&lt;=$E30),"■","")</x:f>
      </x:c>
      <x:c r="J30" s="74" t="str">
        <x:f>IF(AND(J$4&gt;=$D30,J$4&lt;=$E30),"■","")</x:f>
      </x:c>
      <x:c r="K30" s="74" t="str">
        <x:f>IF(AND(K$4&gt;=$D30,K$4&lt;=$E30),"■","")</x:f>
      </x:c>
      <x:c r="L30" s="74" t="str">
        <x:f>IF(AND(L$4&gt;=$D30,L$4&lt;=$E30),"■","")</x:f>
      </x:c>
      <x:c r="M30" s="74" t="str">
        <x:f>IF(AND(M$4&gt;=$D30,M$4&lt;=$E30),"■","")</x:f>
        <x:v>■</x:v>
      </x:c>
      <x:c r="N30" s="74" t="str">
        <x:f>IF(AND(N$4&gt;=$D30,N$4&lt;=$E30),"■","")</x:f>
        <x:v>■</x:v>
      </x:c>
      <x:c r="O30" s="74" t="str">
        <x:f>IF(AND(O$4&gt;=$D30,O$4&lt;=$E30),"■","")</x:f>
        <x:v>■</x:v>
      </x:c>
      <x:c r="P30" s="74" t="str">
        <x:f>IF(AND(P$4&gt;=$D30,P$4&lt;=$E30),"■","")</x:f>
      </x:c>
      <x:c r="Q30" s="74" t="str">
        <x:f>IF(AND(Q$4&gt;=$D30,Q$4&lt;=$E30),"■","")</x:f>
      </x:c>
      <x:c r="R30" s="74" t="str">
        <x:f>IF(AND(R$4&gt;=$D30,R$4&lt;=$E30),"■","")</x:f>
      </x:c>
      <x:c r="S30" s="74" t="str">
        <x:f>IF(AND(S$4&gt;=$D30,S$4&lt;=$E30),"■","")</x:f>
      </x:c>
      <x:c r="T30" s="74" t="str">
        <x:f>IF(AND(T$4&gt;=$D30,T$4&lt;=$E30),"■","")</x:f>
      </x:c>
      <x:c r="U30" s="74" t="str">
        <x:f>IF(AND(U$4&gt;=$D30,U$4&lt;=$E30),"■","")</x:f>
      </x:c>
      <x:c r="V30" s="74" t="str">
        <x:f>IF(AND(V$4&gt;=$D30,V$4&lt;=$E30),"■","")</x:f>
      </x:c>
      <x:c r="W30" s="74" t="str">
        <x:f>IF(AND(W$4&gt;=$D30,W$4&lt;=$E30),"■","")</x:f>
      </x:c>
      <x:c r="X30" s="74" t="str">
        <x:f>IF(AND(X$4&gt;=$D30,X$4&lt;=$E30),"■","")</x:f>
      </x:c>
      <x:c r="Y30" s="82" t="str">
        <x:f>IF(AND(Y$4&gt;=$D30,Y$4&lt;=$E30),"■","")</x:f>
      </x:c>
    </x:row>
    <x:row r="31">
      <x:c r="A31" s="81" t="str">
        <x:v>1.5.5</x:v>
      </x:c>
      <x:c r="B31" s="66" t="str">
        <x:v>Unidad 2</x:v>
      </x:c>
      <x:c r="C31" s="64" t="str">
        <x:v>Modelo de datos</x:v>
      </x:c>
      <x:c r="D31" s="66" t="n">
        <x:v>6</x:v>
      </x:c>
      <x:c r="E31" s="66" t="n">
        <x:v>7</x:v>
      </x:c>
      <x:c r="F31" s="64" t="str">
        <x:v>1.3.6, 1.5.1</x:v>
      </x:c>
      <x:c r="G31" s="64" t="str">
        <x:v>05-BACKEND-SCHEMA.md</x:v>
      </x:c>
      <x:c r="H31" s="74" t="str">
        <x:f>IF(AND(H$4&gt;=$D31,H$4&lt;=$E31),"■","")</x:f>
      </x:c>
      <x:c r="I31" s="74" t="str">
        <x:f>IF(AND(I$4&gt;=$D31,I$4&lt;=$E31),"■","")</x:f>
      </x:c>
      <x:c r="J31" s="74" t="str">
        <x:f>IF(AND(J$4&gt;=$D31,J$4&lt;=$E31),"■","")</x:f>
      </x:c>
      <x:c r="K31" s="74" t="str">
        <x:f>IF(AND(K$4&gt;=$D31,K$4&lt;=$E31),"■","")</x:f>
      </x:c>
      <x:c r="L31" s="74" t="str">
        <x:f>IF(AND(L$4&gt;=$D31,L$4&lt;=$E31),"■","")</x:f>
      </x:c>
      <x:c r="M31" s="74" t="str">
        <x:f>IF(AND(M$4&gt;=$D31,M$4&lt;=$E31),"■","")</x:f>
        <x:v>■</x:v>
      </x:c>
      <x:c r="N31" s="74" t="str">
        <x:f>IF(AND(N$4&gt;=$D31,N$4&lt;=$E31),"■","")</x:f>
        <x:v>■</x:v>
      </x:c>
      <x:c r="O31" s="74" t="str">
        <x:f>IF(AND(O$4&gt;=$D31,O$4&lt;=$E31),"■","")</x:f>
      </x:c>
      <x:c r="P31" s="74" t="str">
        <x:f>IF(AND(P$4&gt;=$D31,P$4&lt;=$E31),"■","")</x:f>
      </x:c>
      <x:c r="Q31" s="74" t="str">
        <x:f>IF(AND(Q$4&gt;=$D31,Q$4&lt;=$E31),"■","")</x:f>
      </x:c>
      <x:c r="R31" s="74" t="str">
        <x:f>IF(AND(R$4&gt;=$D31,R$4&lt;=$E31),"■","")</x:f>
      </x:c>
      <x:c r="S31" s="74" t="str">
        <x:f>IF(AND(S$4&gt;=$D31,S$4&lt;=$E31),"■","")</x:f>
      </x:c>
      <x:c r="T31" s="74" t="str">
        <x:f>IF(AND(T$4&gt;=$D31,T$4&lt;=$E31),"■","")</x:f>
      </x:c>
      <x:c r="U31" s="74" t="str">
        <x:f>IF(AND(U$4&gt;=$D31,U$4&lt;=$E31),"■","")</x:f>
      </x:c>
      <x:c r="V31" s="74" t="str">
        <x:f>IF(AND(V$4&gt;=$D31,V$4&lt;=$E31),"■","")</x:f>
      </x:c>
      <x:c r="W31" s="74" t="str">
        <x:f>IF(AND(W$4&gt;=$D31,W$4&lt;=$E31),"■","")</x:f>
      </x:c>
      <x:c r="X31" s="74" t="str">
        <x:f>IF(AND(X$4&gt;=$D31,X$4&lt;=$E31),"■","")</x:f>
      </x:c>
      <x:c r="Y31" s="82" t="str">
        <x:f>IF(AND(Y$4&gt;=$D31,Y$4&lt;=$E31),"■","")</x:f>
      </x:c>
    </x:row>
    <x:row r="32">
      <x:c r="A32" s="81" t="str">
        <x:v>1.5.6</x:v>
      </x:c>
      <x:c r="B32" s="66" t="str">
        <x:v>Unidad 2</x:v>
      </x:c>
      <x:c r="C32" s="64" t="str">
        <x:v>Contrato OpenAPI</x:v>
      </x:c>
      <x:c r="D32" s="66" t="n">
        <x:v>7</x:v>
      </x:c>
      <x:c r="E32" s="66" t="n">
        <x:v>8</x:v>
      </x:c>
      <x:c r="F32" s="64" t="str">
        <x:v>1.5.5, 1.3.6</x:v>
      </x:c>
      <x:c r="G32" s="64" t="str">
        <x:v>contracts/openapi.yaml</x:v>
      </x:c>
      <x:c r="H32" s="74" t="str">
        <x:f>IF(AND(H$4&gt;=$D32,H$4&lt;=$E32),"■","")</x:f>
      </x:c>
      <x:c r="I32" s="74" t="str">
        <x:f>IF(AND(I$4&gt;=$D32,I$4&lt;=$E32),"■","")</x:f>
      </x:c>
      <x:c r="J32" s="74" t="str">
        <x:f>IF(AND(J$4&gt;=$D32,J$4&lt;=$E32),"■","")</x:f>
      </x:c>
      <x:c r="K32" s="74" t="str">
        <x:f>IF(AND(K$4&gt;=$D32,K$4&lt;=$E32),"■","")</x:f>
      </x:c>
      <x:c r="L32" s="74" t="str">
        <x:f>IF(AND(L$4&gt;=$D32,L$4&lt;=$E32),"■","")</x:f>
      </x:c>
      <x:c r="M32" s="74" t="str">
        <x:f>IF(AND(M$4&gt;=$D32,M$4&lt;=$E32),"■","")</x:f>
      </x:c>
      <x:c r="N32" s="74" t="str">
        <x:f>IF(AND(N$4&gt;=$D32,N$4&lt;=$E32),"■","")</x:f>
        <x:v>■</x:v>
      </x:c>
      <x:c r="O32" s="74" t="str">
        <x:f>IF(AND(O$4&gt;=$D32,O$4&lt;=$E32),"■","")</x:f>
        <x:v>■</x:v>
      </x:c>
      <x:c r="P32" s="74" t="str">
        <x:f>IF(AND(P$4&gt;=$D32,P$4&lt;=$E32),"■","")</x:f>
      </x:c>
      <x:c r="Q32" s="74" t="str">
        <x:f>IF(AND(Q$4&gt;=$D32,Q$4&lt;=$E32),"■","")</x:f>
      </x:c>
      <x:c r="R32" s="74" t="str">
        <x:f>IF(AND(R$4&gt;=$D32,R$4&lt;=$E32),"■","")</x:f>
      </x:c>
      <x:c r="S32" s="74" t="str">
        <x:f>IF(AND(S$4&gt;=$D32,S$4&lt;=$E32),"■","")</x:f>
      </x:c>
      <x:c r="T32" s="74" t="str">
        <x:f>IF(AND(T$4&gt;=$D32,T$4&lt;=$E32),"■","")</x:f>
      </x:c>
      <x:c r="U32" s="74" t="str">
        <x:f>IF(AND(U$4&gt;=$D32,U$4&lt;=$E32),"■","")</x:f>
      </x:c>
      <x:c r="V32" s="74" t="str">
        <x:f>IF(AND(V$4&gt;=$D32,V$4&lt;=$E32),"■","")</x:f>
      </x:c>
      <x:c r="W32" s="74" t="str">
        <x:f>IF(AND(W$4&gt;=$D32,W$4&lt;=$E32),"■","")</x:f>
      </x:c>
      <x:c r="X32" s="74" t="str">
        <x:f>IF(AND(X$4&gt;=$D32,X$4&lt;=$E32),"■","")</x:f>
      </x:c>
      <x:c r="Y32" s="82" t="str">
        <x:f>IF(AND(Y$4&gt;=$D32,Y$4&lt;=$E32),"■","")</x:f>
      </x:c>
    </x:row>
    <x:row r="33">
      <x:c r="A33" s="81" t="str">
        <x:v>1.6.1–1.6.4</x:v>
      </x:c>
      <x:c r="B33" s="66" t="str">
        <x:v>Unidad 2/3</x:v>
      </x:c>
      <x:c r="C33" s="64" t="str">
        <x:v>Hardening de foundation</x:v>
      </x:c>
      <x:c r="D33" s="66" t="n">
        <x:v>8</x:v>
      </x:c>
      <x:c r="E33" s="66" t="n">
        <x:v>9</x:v>
      </x:c>
      <x:c r="F33" s="64" t="str">
        <x:v>1.5.3</x:v>
      </x:c>
      <x:c r="G33" s="64" t="str">
        <x:v>Foundation reproducible</x:v>
      </x:c>
      <x:c r="H33" s="74" t="str">
        <x:f>IF(AND(H$4&gt;=$D33,H$4&lt;=$E33),"■","")</x:f>
      </x:c>
      <x:c r="I33" s="74" t="str">
        <x:f>IF(AND(I$4&gt;=$D33,I$4&lt;=$E33),"■","")</x:f>
      </x:c>
      <x:c r="J33" s="74" t="str">
        <x:f>IF(AND(J$4&gt;=$D33,J$4&lt;=$E33),"■","")</x:f>
      </x:c>
      <x:c r="K33" s="74" t="str">
        <x:f>IF(AND(K$4&gt;=$D33,K$4&lt;=$E33),"■","")</x:f>
      </x:c>
      <x:c r="L33" s="74" t="str">
        <x:f>IF(AND(L$4&gt;=$D33,L$4&lt;=$E33),"■","")</x:f>
      </x:c>
      <x:c r="M33" s="74" t="str">
        <x:f>IF(AND(M$4&gt;=$D33,M$4&lt;=$E33),"■","")</x:f>
      </x:c>
      <x:c r="N33" s="74" t="str">
        <x:f>IF(AND(N$4&gt;=$D33,N$4&lt;=$E33),"■","")</x:f>
      </x:c>
      <x:c r="O33" s="74" t="str">
        <x:f>IF(AND(O$4&gt;=$D33,O$4&lt;=$E33),"■","")</x:f>
        <x:v>■</x:v>
      </x:c>
      <x:c r="P33" s="74" t="str">
        <x:f>IF(AND(P$4&gt;=$D33,P$4&lt;=$E33),"■","")</x:f>
        <x:v>■</x:v>
      </x:c>
      <x:c r="Q33" s="74" t="str">
        <x:f>IF(AND(Q$4&gt;=$D33,Q$4&lt;=$E33),"■","")</x:f>
      </x:c>
      <x:c r="R33" s="74" t="str">
        <x:f>IF(AND(R$4&gt;=$D33,R$4&lt;=$E33),"■","")</x:f>
      </x:c>
      <x:c r="S33" s="74" t="str">
        <x:f>IF(AND(S$4&gt;=$D33,S$4&lt;=$E33),"■","")</x:f>
      </x:c>
      <x:c r="T33" s="74" t="str">
        <x:f>IF(AND(T$4&gt;=$D33,T$4&lt;=$E33),"■","")</x:f>
      </x:c>
      <x:c r="U33" s="74" t="str">
        <x:f>IF(AND(U$4&gt;=$D33,U$4&lt;=$E33),"■","")</x:f>
      </x:c>
      <x:c r="V33" s="74" t="str">
        <x:f>IF(AND(V$4&gt;=$D33,V$4&lt;=$E33),"■","")</x:f>
      </x:c>
      <x:c r="W33" s="74" t="str">
        <x:f>IF(AND(W$4&gt;=$D33,W$4&lt;=$E33),"■","")</x:f>
      </x:c>
      <x:c r="X33" s="74" t="str">
        <x:f>IF(AND(X$4&gt;=$D33,X$4&lt;=$E33),"■","")</x:f>
      </x:c>
      <x:c r="Y33" s="82" t="str">
        <x:f>IF(AND(Y$4&gt;=$D33,Y$4&lt;=$E33),"■","")</x:f>
      </x:c>
    </x:row>
    <x:row r="34">
      <x:c r="A34" s="81" t="str">
        <x:v>1.6.5</x:v>
      </x:c>
      <x:c r="B34" s="66" t="str">
        <x:v>Unidad 2/3</x:v>
      </x:c>
      <x:c r="C34" s="64" t="str">
        <x:v>CI inicial</x:v>
      </x:c>
      <x:c r="D34" s="66" t="n">
        <x:v>8</x:v>
      </x:c>
      <x:c r="E34" s="66" t="n">
        <x:v>9</x:v>
      </x:c>
      <x:c r="F34" s="64" t="str">
        <x:v>1.6.1–1.6.4</x:v>
      </x:c>
      <x:c r="G34" s="64" t="str">
        <x:v>Pipeline verde</x:v>
      </x:c>
      <x:c r="H34" s="74" t="str">
        <x:f>IF(AND(H$4&gt;=$D34,H$4&lt;=$E34),"■","")</x:f>
      </x:c>
      <x:c r="I34" s="74" t="str">
        <x:f>IF(AND(I$4&gt;=$D34,I$4&lt;=$E34),"■","")</x:f>
      </x:c>
      <x:c r="J34" s="74" t="str">
        <x:f>IF(AND(J$4&gt;=$D34,J$4&lt;=$E34),"■","")</x:f>
      </x:c>
      <x:c r="K34" s="74" t="str">
        <x:f>IF(AND(K$4&gt;=$D34,K$4&lt;=$E34),"■","")</x:f>
      </x:c>
      <x:c r="L34" s="74" t="str">
        <x:f>IF(AND(L$4&gt;=$D34,L$4&lt;=$E34),"■","")</x:f>
      </x:c>
      <x:c r="M34" s="74" t="str">
        <x:f>IF(AND(M$4&gt;=$D34,M$4&lt;=$E34),"■","")</x:f>
      </x:c>
      <x:c r="N34" s="74" t="str">
        <x:f>IF(AND(N$4&gt;=$D34,N$4&lt;=$E34),"■","")</x:f>
      </x:c>
      <x:c r="O34" s="74" t="str">
        <x:f>IF(AND(O$4&gt;=$D34,O$4&lt;=$E34),"■","")</x:f>
        <x:v>■</x:v>
      </x:c>
      <x:c r="P34" s="74" t="str">
        <x:f>IF(AND(P$4&gt;=$D34,P$4&lt;=$E34),"■","")</x:f>
        <x:v>■</x:v>
      </x:c>
      <x:c r="Q34" s="74" t="str">
        <x:f>IF(AND(Q$4&gt;=$D34,Q$4&lt;=$E34),"■","")</x:f>
      </x:c>
      <x:c r="R34" s="74" t="str">
        <x:f>IF(AND(R$4&gt;=$D34,R$4&lt;=$E34),"■","")</x:f>
      </x:c>
      <x:c r="S34" s="74" t="str">
        <x:f>IF(AND(S$4&gt;=$D34,S$4&lt;=$E34),"■","")</x:f>
      </x:c>
      <x:c r="T34" s="74" t="str">
        <x:f>IF(AND(T$4&gt;=$D34,T$4&lt;=$E34),"■","")</x:f>
      </x:c>
      <x:c r="U34" s="74" t="str">
        <x:f>IF(AND(U$4&gt;=$D34,U$4&lt;=$E34),"■","")</x:f>
      </x:c>
      <x:c r="V34" s="74" t="str">
        <x:f>IF(AND(V$4&gt;=$D34,V$4&lt;=$E34),"■","")</x:f>
      </x:c>
      <x:c r="W34" s="74" t="str">
        <x:f>IF(AND(W$4&gt;=$D34,W$4&lt;=$E34),"■","")</x:f>
      </x:c>
      <x:c r="X34" s="74" t="str">
        <x:f>IF(AND(X$4&gt;=$D34,X$4&lt;=$E34),"■","")</x:f>
      </x:c>
      <x:c r="Y34" s="82" t="str">
        <x:f>IF(AND(Y$4&gt;=$D34,Y$4&lt;=$E34),"■","")</x:f>
      </x:c>
    </x:row>
    <x:row r="35">
      <x:c r="A35" s="81" t="str">
        <x:v>1.7.1</x:v>
      </x:c>
      <x:c r="B35" s="66" t="str">
        <x:v>Unidad 3</x:v>
      </x:c>
      <x:c r="C35" s="64" t="str">
        <x:v>Backend Identity</x:v>
      </x:c>
      <x:c r="D35" s="66" t="n">
        <x:v>9</x:v>
      </x:c>
      <x:c r="E35" s="66" t="n">
        <x:v>9</x:v>
      </x:c>
      <x:c r="F35" s="64" t="str">
        <x:v>1.6.5</x:v>
      </x:c>
      <x:c r="G35" s="64" t="str">
        <x:v>Auth/RBAC inicial</x:v>
      </x:c>
      <x:c r="H35" s="74" t="str">
        <x:f>IF(AND(H$4&gt;=$D35,H$4&lt;=$E35),"■","")</x:f>
      </x:c>
      <x:c r="I35" s="74" t="str">
        <x:f>IF(AND(I$4&gt;=$D35,I$4&lt;=$E35),"■","")</x:f>
      </x:c>
      <x:c r="J35" s="74" t="str">
        <x:f>IF(AND(J$4&gt;=$D35,J$4&lt;=$E35),"■","")</x:f>
      </x:c>
      <x:c r="K35" s="74" t="str">
        <x:f>IF(AND(K$4&gt;=$D35,K$4&lt;=$E35),"■","")</x:f>
      </x:c>
      <x:c r="L35" s="74" t="str">
        <x:f>IF(AND(L$4&gt;=$D35,L$4&lt;=$E35),"■","")</x:f>
      </x:c>
      <x:c r="M35" s="74" t="str">
        <x:f>IF(AND(M$4&gt;=$D35,M$4&lt;=$E35),"■","")</x:f>
      </x:c>
      <x:c r="N35" s="74" t="str">
        <x:f>IF(AND(N$4&gt;=$D35,N$4&lt;=$E35),"■","")</x:f>
      </x:c>
      <x:c r="O35" s="74" t="str">
        <x:f>IF(AND(O$4&gt;=$D35,O$4&lt;=$E35),"■","")</x:f>
      </x:c>
      <x:c r="P35" s="74" t="str">
        <x:f>IF(AND(P$4&gt;=$D35,P$4&lt;=$E35),"■","")</x:f>
        <x:v>■</x:v>
      </x:c>
      <x:c r="Q35" s="74" t="str">
        <x:f>IF(AND(Q$4&gt;=$D35,Q$4&lt;=$E35),"■","")</x:f>
      </x:c>
      <x:c r="R35" s="74" t="str">
        <x:f>IF(AND(R$4&gt;=$D35,R$4&lt;=$E35),"■","")</x:f>
      </x:c>
      <x:c r="S35" s="74" t="str">
        <x:f>IF(AND(S$4&gt;=$D35,S$4&lt;=$E35),"■","")</x:f>
      </x:c>
      <x:c r="T35" s="74" t="str">
        <x:f>IF(AND(T$4&gt;=$D35,T$4&lt;=$E35),"■","")</x:f>
      </x:c>
      <x:c r="U35" s="74" t="str">
        <x:f>IF(AND(U$4&gt;=$D35,U$4&lt;=$E35),"■","")</x:f>
      </x:c>
      <x:c r="V35" s="74" t="str">
        <x:f>IF(AND(V$4&gt;=$D35,V$4&lt;=$E35),"■","")</x:f>
      </x:c>
      <x:c r="W35" s="74" t="str">
        <x:f>IF(AND(W$4&gt;=$D35,W$4&lt;=$E35),"■","")</x:f>
      </x:c>
      <x:c r="X35" s="74" t="str">
        <x:f>IF(AND(X$4&gt;=$D35,X$4&lt;=$E35),"■","")</x:f>
      </x:c>
      <x:c r="Y35" s="82" t="str">
        <x:f>IF(AND(Y$4&gt;=$D35,Y$4&lt;=$E35),"■","")</x:f>
      </x:c>
    </x:row>
    <x:row r="36">
      <x:c r="A36" s="81" t="str">
        <x:v>1.7.2–1.7.4</x:v>
      </x:c>
      <x:c r="B36" s="66" t="str">
        <x:v>Unidad 3</x:v>
      </x:c>
      <x:c r="C36" s="64" t="str">
        <x:v>Institutional + Catalog + Practitioners</x:v>
      </x:c>
      <x:c r="D36" s="66" t="n">
        <x:v>9</x:v>
      </x:c>
      <x:c r="E36" s="66" t="n">
        <x:v>10</x:v>
      </x:c>
      <x:c r="F36" s="64" t="str">
        <x:v>1.7.1</x:v>
      </x:c>
      <x:c r="G36" s="64" t="str">
        <x:v>Catálogo y agenda</x:v>
      </x:c>
      <x:c r="H36" s="74" t="str">
        <x:f>IF(AND(H$4&gt;=$D36,H$4&lt;=$E36),"■","")</x:f>
      </x:c>
      <x:c r="I36" s="74" t="str">
        <x:f>IF(AND(I$4&gt;=$D36,I$4&lt;=$E36),"■","")</x:f>
      </x:c>
      <x:c r="J36" s="74" t="str">
        <x:f>IF(AND(J$4&gt;=$D36,J$4&lt;=$E36),"■","")</x:f>
      </x:c>
      <x:c r="K36" s="74" t="str">
        <x:f>IF(AND(K$4&gt;=$D36,K$4&lt;=$E36),"■","")</x:f>
      </x:c>
      <x:c r="L36" s="74" t="str">
        <x:f>IF(AND(L$4&gt;=$D36,L$4&lt;=$E36),"■","")</x:f>
      </x:c>
      <x:c r="M36" s="74" t="str">
        <x:f>IF(AND(M$4&gt;=$D36,M$4&lt;=$E36),"■","")</x:f>
      </x:c>
      <x:c r="N36" s="74" t="str">
        <x:f>IF(AND(N$4&gt;=$D36,N$4&lt;=$E36),"■","")</x:f>
      </x:c>
      <x:c r="O36" s="74" t="str">
        <x:f>IF(AND(O$4&gt;=$D36,O$4&lt;=$E36),"■","")</x:f>
      </x:c>
      <x:c r="P36" s="74" t="str">
        <x:f>IF(AND(P$4&gt;=$D36,P$4&lt;=$E36),"■","")</x:f>
        <x:v>■</x:v>
      </x:c>
      <x:c r="Q36" s="74" t="str">
        <x:f>IF(AND(Q$4&gt;=$D36,Q$4&lt;=$E36),"■","")</x:f>
        <x:v>■</x:v>
      </x:c>
      <x:c r="R36" s="74" t="str">
        <x:f>IF(AND(R$4&gt;=$D36,R$4&lt;=$E36),"■","")</x:f>
      </x:c>
      <x:c r="S36" s="74" t="str">
        <x:f>IF(AND(S$4&gt;=$D36,S$4&lt;=$E36),"■","")</x:f>
      </x:c>
      <x:c r="T36" s="74" t="str">
        <x:f>IF(AND(T$4&gt;=$D36,T$4&lt;=$E36),"■","")</x:f>
      </x:c>
      <x:c r="U36" s="74" t="str">
        <x:f>IF(AND(U$4&gt;=$D36,U$4&lt;=$E36),"■","")</x:f>
      </x:c>
      <x:c r="V36" s="74" t="str">
        <x:f>IF(AND(V$4&gt;=$D36,V$4&lt;=$E36),"■","")</x:f>
      </x:c>
      <x:c r="W36" s="74" t="str">
        <x:f>IF(AND(W$4&gt;=$D36,W$4&lt;=$E36),"■","")</x:f>
      </x:c>
      <x:c r="X36" s="74" t="str">
        <x:f>IF(AND(X$4&gt;=$D36,X$4&lt;=$E36),"■","")</x:f>
      </x:c>
      <x:c r="Y36" s="82" t="str">
        <x:f>IF(AND(Y$4&gt;=$D36,Y$4&lt;=$E36),"■","")</x:f>
      </x:c>
    </x:row>
    <x:row r="37">
      <x:c r="A37" s="81" t="str">
        <x:v>1.7.5</x:v>
      </x:c>
      <x:c r="B37" s="66" t="str">
        <x:v>Unidad 3</x:v>
      </x:c>
      <x:c r="C37" s="64" t="str">
        <x:v>Appointments</x:v>
      </x:c>
      <x:c r="D37" s="66" t="n">
        <x:v>9</x:v>
      </x:c>
      <x:c r="E37" s="66" t="n">
        <x:v>11</x:v>
      </x:c>
      <x:c r="F37" s="64" t="str">
        <x:v>1.7.3–1.7.4</x:v>
      </x:c>
      <x:c r="G37" s="64" t="str">
        <x:v>Citas y concurrencia</x:v>
      </x:c>
      <x:c r="H37" s="74" t="str">
        <x:f>IF(AND(H$4&gt;=$D37,H$4&lt;=$E37),"■","")</x:f>
      </x:c>
      <x:c r="I37" s="74" t="str">
        <x:f>IF(AND(I$4&gt;=$D37,I$4&lt;=$E37),"■","")</x:f>
      </x:c>
      <x:c r="J37" s="74" t="str">
        <x:f>IF(AND(J$4&gt;=$D37,J$4&lt;=$E37),"■","")</x:f>
      </x:c>
      <x:c r="K37" s="74" t="str">
        <x:f>IF(AND(K$4&gt;=$D37,K$4&lt;=$E37),"■","")</x:f>
      </x:c>
      <x:c r="L37" s="74" t="str">
        <x:f>IF(AND(L$4&gt;=$D37,L$4&lt;=$E37),"■","")</x:f>
      </x:c>
      <x:c r="M37" s="74" t="str">
        <x:f>IF(AND(M$4&gt;=$D37,M$4&lt;=$E37),"■","")</x:f>
      </x:c>
      <x:c r="N37" s="74" t="str">
        <x:f>IF(AND(N$4&gt;=$D37,N$4&lt;=$E37),"■","")</x:f>
      </x:c>
      <x:c r="O37" s="74" t="str">
        <x:f>IF(AND(O$4&gt;=$D37,O$4&lt;=$E37),"■","")</x:f>
      </x:c>
      <x:c r="P37" s="74" t="str">
        <x:f>IF(AND(P$4&gt;=$D37,P$4&lt;=$E37),"■","")</x:f>
        <x:v>■</x:v>
      </x:c>
      <x:c r="Q37" s="74" t="str">
        <x:f>IF(AND(Q$4&gt;=$D37,Q$4&lt;=$E37),"■","")</x:f>
        <x:v>■</x:v>
      </x:c>
      <x:c r="R37" s="74" t="str">
        <x:f>IF(AND(R$4&gt;=$D37,R$4&lt;=$E37),"■","")</x:f>
        <x:v>■</x:v>
      </x:c>
      <x:c r="S37" s="74" t="str">
        <x:f>IF(AND(S$4&gt;=$D37,S$4&lt;=$E37),"■","")</x:f>
      </x:c>
      <x:c r="T37" s="74" t="str">
        <x:f>IF(AND(T$4&gt;=$D37,T$4&lt;=$E37),"■","")</x:f>
      </x:c>
      <x:c r="U37" s="74" t="str">
        <x:f>IF(AND(U$4&gt;=$D37,U$4&lt;=$E37),"■","")</x:f>
      </x:c>
      <x:c r="V37" s="74" t="str">
        <x:f>IF(AND(V$4&gt;=$D37,V$4&lt;=$E37),"■","")</x:f>
      </x:c>
      <x:c r="W37" s="74" t="str">
        <x:f>IF(AND(W$4&gt;=$D37,W$4&lt;=$E37),"■","")</x:f>
      </x:c>
      <x:c r="X37" s="74" t="str">
        <x:f>IF(AND(X$4&gt;=$D37,X$4&lt;=$E37),"■","")</x:f>
      </x:c>
      <x:c r="Y37" s="82" t="str">
        <x:f>IF(AND(Y$4&gt;=$D37,Y$4&lt;=$E37),"■","")</x:f>
      </x:c>
    </x:row>
    <x:row r="38">
      <x:c r="A38" s="81" t="str">
        <x:v>1.7.6</x:v>
      </x:c>
      <x:c r="B38" s="66" t="str">
        <x:v>Unidad 3</x:v>
      </x:c>
      <x:c r="C38" s="64" t="str">
        <x:v>Prioritization</x:v>
      </x:c>
      <x:c r="D38" s="66" t="n">
        <x:v>10</x:v>
      </x:c>
      <x:c r="E38" s="66" t="n">
        <x:v>11</x:v>
      </x:c>
      <x:c r="F38" s="64" t="str">
        <x:v>1.7.5</x:v>
      </x:c>
      <x:c r="G38" s="64" t="str">
        <x:v>Revisión auditable</x:v>
      </x:c>
      <x:c r="H38" s="74" t="str">
        <x:f>IF(AND(H$4&gt;=$D38,H$4&lt;=$E38),"■","")</x:f>
      </x:c>
      <x:c r="I38" s="74" t="str">
        <x:f>IF(AND(I$4&gt;=$D38,I$4&lt;=$E38),"■","")</x:f>
      </x:c>
      <x:c r="J38" s="74" t="str">
        <x:f>IF(AND(J$4&gt;=$D38,J$4&lt;=$E38),"■","")</x:f>
      </x:c>
      <x:c r="K38" s="74" t="str">
        <x:f>IF(AND(K$4&gt;=$D38,K$4&lt;=$E38),"■","")</x:f>
      </x:c>
      <x:c r="L38" s="74" t="str">
        <x:f>IF(AND(L$4&gt;=$D38,L$4&lt;=$E38),"■","")</x:f>
      </x:c>
      <x:c r="M38" s="74" t="str">
        <x:f>IF(AND(M$4&gt;=$D38,M$4&lt;=$E38),"■","")</x:f>
      </x:c>
      <x:c r="N38" s="74" t="str">
        <x:f>IF(AND(N$4&gt;=$D38,N$4&lt;=$E38),"■","")</x:f>
      </x:c>
      <x:c r="O38" s="74" t="str">
        <x:f>IF(AND(O$4&gt;=$D38,O$4&lt;=$E38),"■","")</x:f>
      </x:c>
      <x:c r="P38" s="74" t="str">
        <x:f>IF(AND(P$4&gt;=$D38,P$4&lt;=$E38),"■","")</x:f>
      </x:c>
      <x:c r="Q38" s="74" t="str">
        <x:f>IF(AND(Q$4&gt;=$D38,Q$4&lt;=$E38),"■","")</x:f>
        <x:v>■</x:v>
      </x:c>
      <x:c r="R38" s="74" t="str">
        <x:f>IF(AND(R$4&gt;=$D38,R$4&lt;=$E38),"■","")</x:f>
        <x:v>■</x:v>
      </x:c>
      <x:c r="S38" s="74" t="str">
        <x:f>IF(AND(S$4&gt;=$D38,S$4&lt;=$E38),"■","")</x:f>
      </x:c>
      <x:c r="T38" s="74" t="str">
        <x:f>IF(AND(T$4&gt;=$D38,T$4&lt;=$E38),"■","")</x:f>
      </x:c>
      <x:c r="U38" s="74" t="str">
        <x:f>IF(AND(U$4&gt;=$D38,U$4&lt;=$E38),"■","")</x:f>
      </x:c>
      <x:c r="V38" s="74" t="str">
        <x:f>IF(AND(V$4&gt;=$D38,V$4&lt;=$E38),"■","")</x:f>
      </x:c>
      <x:c r="W38" s="74" t="str">
        <x:f>IF(AND(W$4&gt;=$D38,W$4&lt;=$E38),"■","")</x:f>
      </x:c>
      <x:c r="X38" s="74" t="str">
        <x:f>IF(AND(X$4&gt;=$D38,X$4&lt;=$E38),"■","")</x:f>
      </x:c>
      <x:c r="Y38" s="82" t="str">
        <x:f>IF(AND(Y$4&gt;=$D38,Y$4&lt;=$E38),"■","")</x:f>
      </x:c>
    </x:row>
    <x:row r="39">
      <x:c r="A39" s="81" t="str">
        <x:v>1.7.7</x:v>
      </x:c>
      <x:c r="B39" s="66" t="str">
        <x:v>Unidad 3</x:v>
      </x:c>
      <x:c r="C39" s="64" t="str">
        <x:v>Waitlist</x:v>
      </x:c>
      <x:c r="D39" s="66" t="n">
        <x:v>10</x:v>
      </x:c>
      <x:c r="E39" s="66" t="n">
        <x:v>11</x:v>
      </x:c>
      <x:c r="F39" s="64" t="str">
        <x:v>1.7.5</x:v>
      </x:c>
      <x:c r="G39" s="64" t="str">
        <x:v>Recuperación de cupos</x:v>
      </x:c>
      <x:c r="H39" s="74" t="str">
        <x:f>IF(AND(H$4&gt;=$D39,H$4&lt;=$E39),"■","")</x:f>
      </x:c>
      <x:c r="I39" s="74" t="str">
        <x:f>IF(AND(I$4&gt;=$D39,I$4&lt;=$E39),"■","")</x:f>
      </x:c>
      <x:c r="J39" s="74" t="str">
        <x:f>IF(AND(J$4&gt;=$D39,J$4&lt;=$E39),"■","")</x:f>
      </x:c>
      <x:c r="K39" s="74" t="str">
        <x:f>IF(AND(K$4&gt;=$D39,K$4&lt;=$E39),"■","")</x:f>
      </x:c>
      <x:c r="L39" s="74" t="str">
        <x:f>IF(AND(L$4&gt;=$D39,L$4&lt;=$E39),"■","")</x:f>
      </x:c>
      <x:c r="M39" s="74" t="str">
        <x:f>IF(AND(M$4&gt;=$D39,M$4&lt;=$E39),"■","")</x:f>
      </x:c>
      <x:c r="N39" s="74" t="str">
        <x:f>IF(AND(N$4&gt;=$D39,N$4&lt;=$E39),"■","")</x:f>
      </x:c>
      <x:c r="O39" s="74" t="str">
        <x:f>IF(AND(O$4&gt;=$D39,O$4&lt;=$E39),"■","")</x:f>
      </x:c>
      <x:c r="P39" s="74" t="str">
        <x:f>IF(AND(P$4&gt;=$D39,P$4&lt;=$E39),"■","")</x:f>
      </x:c>
      <x:c r="Q39" s="74" t="str">
        <x:f>IF(AND(Q$4&gt;=$D39,Q$4&lt;=$E39),"■","")</x:f>
        <x:v>■</x:v>
      </x:c>
      <x:c r="R39" s="74" t="str">
        <x:f>IF(AND(R$4&gt;=$D39,R$4&lt;=$E39),"■","")</x:f>
        <x:v>■</x:v>
      </x:c>
      <x:c r="S39" s="74" t="str">
        <x:f>IF(AND(S$4&gt;=$D39,S$4&lt;=$E39),"■","")</x:f>
      </x:c>
      <x:c r="T39" s="74" t="str">
        <x:f>IF(AND(T$4&gt;=$D39,T$4&lt;=$E39),"■","")</x:f>
      </x:c>
      <x:c r="U39" s="74" t="str">
        <x:f>IF(AND(U$4&gt;=$D39,U$4&lt;=$E39),"■","")</x:f>
      </x:c>
      <x:c r="V39" s="74" t="str">
        <x:f>IF(AND(V$4&gt;=$D39,V$4&lt;=$E39),"■","")</x:f>
      </x:c>
      <x:c r="W39" s="74" t="str">
        <x:f>IF(AND(W$4&gt;=$D39,W$4&lt;=$E39),"■","")</x:f>
      </x:c>
      <x:c r="X39" s="74" t="str">
        <x:f>IF(AND(X$4&gt;=$D39,X$4&lt;=$E39),"■","")</x:f>
      </x:c>
      <x:c r="Y39" s="82" t="str">
        <x:f>IF(AND(Y$4&gt;=$D39,Y$4&lt;=$E39),"■","")</x:f>
      </x:c>
    </x:row>
    <x:row r="40">
      <x:c r="A40" s="81" t="str">
        <x:v>1.7.8</x:v>
      </x:c>
      <x:c r="B40" s="66" t="str">
        <x:v>Unidad 3</x:v>
      </x:c>
      <x:c r="C40" s="64" t="str">
        <x:v>Notifications</x:v>
      </x:c>
      <x:c r="D40" s="66" t="n">
        <x:v>10</x:v>
      </x:c>
      <x:c r="E40" s="66" t="n">
        <x:v>12</x:v>
      </x:c>
      <x:c r="F40" s="64" t="str">
        <x:v>1.7.5, 1.7.7</x:v>
      </x:c>
      <x:c r="G40" s="64" t="str">
        <x:v>In-app / push</x:v>
      </x:c>
      <x:c r="H40" s="74" t="str">
        <x:f>IF(AND(H$4&gt;=$D40,H$4&lt;=$E40),"■","")</x:f>
      </x:c>
      <x:c r="I40" s="74" t="str">
        <x:f>IF(AND(I$4&gt;=$D40,I$4&lt;=$E40),"■","")</x:f>
      </x:c>
      <x:c r="J40" s="74" t="str">
        <x:f>IF(AND(J$4&gt;=$D40,J$4&lt;=$E40),"■","")</x:f>
      </x:c>
      <x:c r="K40" s="74" t="str">
        <x:f>IF(AND(K$4&gt;=$D40,K$4&lt;=$E40),"■","")</x:f>
      </x:c>
      <x:c r="L40" s="74" t="str">
        <x:f>IF(AND(L$4&gt;=$D40,L$4&lt;=$E40),"■","")</x:f>
      </x:c>
      <x:c r="M40" s="74" t="str">
        <x:f>IF(AND(M$4&gt;=$D40,M$4&lt;=$E40),"■","")</x:f>
      </x:c>
      <x:c r="N40" s="74" t="str">
        <x:f>IF(AND(N$4&gt;=$D40,N$4&lt;=$E40),"■","")</x:f>
      </x:c>
      <x:c r="O40" s="74" t="str">
        <x:f>IF(AND(O$4&gt;=$D40,O$4&lt;=$E40),"■","")</x:f>
      </x:c>
      <x:c r="P40" s="74" t="str">
        <x:f>IF(AND(P$4&gt;=$D40,P$4&lt;=$E40),"■","")</x:f>
      </x:c>
      <x:c r="Q40" s="74" t="str">
        <x:f>IF(AND(Q$4&gt;=$D40,Q$4&lt;=$E40),"■","")</x:f>
        <x:v>■</x:v>
      </x:c>
      <x:c r="R40" s="74" t="str">
        <x:f>IF(AND(R$4&gt;=$D40,R$4&lt;=$E40),"■","")</x:f>
        <x:v>■</x:v>
      </x:c>
      <x:c r="S40" s="74" t="str">
        <x:f>IF(AND(S$4&gt;=$D40,S$4&lt;=$E40),"■","")</x:f>
        <x:v>■</x:v>
      </x:c>
      <x:c r="T40" s="74" t="str">
        <x:f>IF(AND(T$4&gt;=$D40,T$4&lt;=$E40),"■","")</x:f>
      </x:c>
      <x:c r="U40" s="74" t="str">
        <x:f>IF(AND(U$4&gt;=$D40,U$4&lt;=$E40),"■","")</x:f>
      </x:c>
      <x:c r="V40" s="74" t="str">
        <x:f>IF(AND(V$4&gt;=$D40,V$4&lt;=$E40),"■","")</x:f>
      </x:c>
      <x:c r="W40" s="74" t="str">
        <x:f>IF(AND(W$4&gt;=$D40,W$4&lt;=$E40),"■","")</x:f>
      </x:c>
      <x:c r="X40" s="74" t="str">
        <x:f>IF(AND(X$4&gt;=$D40,X$4&lt;=$E40),"■","")</x:f>
      </x:c>
      <x:c r="Y40" s="82" t="str">
        <x:f>IF(AND(Y$4&gt;=$D40,Y$4&lt;=$E40),"■","")</x:f>
      </x:c>
    </x:row>
    <x:row r="41">
      <x:c r="A41" s="81" t="str">
        <x:v>1.7.9</x:v>
      </x:c>
      <x:c r="B41" s="66" t="str">
        <x:v>Unidad 3</x:v>
      </x:c>
      <x:c r="C41" s="64" t="str">
        <x:v>Outpatient Flow</x:v>
      </x:c>
      <x:c r="D41" s="66" t="n">
        <x:v>11</x:v>
      </x:c>
      <x:c r="E41" s="66" t="n">
        <x:v>12</x:v>
      </x:c>
      <x:c r="F41" s="64" t="str">
        <x:v>1.7.5</x:v>
      </x:c>
      <x:c r="G41" s="64" t="str">
        <x:v>Flujo ambulatorio</x:v>
      </x:c>
      <x:c r="H41" s="74" t="str">
        <x:f>IF(AND(H$4&gt;=$D41,H$4&lt;=$E41),"■","")</x:f>
      </x:c>
      <x:c r="I41" s="74" t="str">
        <x:f>IF(AND(I$4&gt;=$D41,I$4&lt;=$E41),"■","")</x:f>
      </x:c>
      <x:c r="J41" s="74" t="str">
        <x:f>IF(AND(J$4&gt;=$D41,J$4&lt;=$E41),"■","")</x:f>
      </x:c>
      <x:c r="K41" s="74" t="str">
        <x:f>IF(AND(K$4&gt;=$D41,K$4&lt;=$E41),"■","")</x:f>
      </x:c>
      <x:c r="L41" s="74" t="str">
        <x:f>IF(AND(L$4&gt;=$D41,L$4&lt;=$E41),"■","")</x:f>
      </x:c>
      <x:c r="M41" s="74" t="str">
        <x:f>IF(AND(M$4&gt;=$D41,M$4&lt;=$E41),"■","")</x:f>
      </x:c>
      <x:c r="N41" s="74" t="str">
        <x:f>IF(AND(N$4&gt;=$D41,N$4&lt;=$E41),"■","")</x:f>
      </x:c>
      <x:c r="O41" s="74" t="str">
        <x:f>IF(AND(O$4&gt;=$D41,O$4&lt;=$E41),"■","")</x:f>
      </x:c>
      <x:c r="P41" s="74" t="str">
        <x:f>IF(AND(P$4&gt;=$D41,P$4&lt;=$E41),"■","")</x:f>
      </x:c>
      <x:c r="Q41" s="74" t="str">
        <x:f>IF(AND(Q$4&gt;=$D41,Q$4&lt;=$E41),"■","")</x:f>
      </x:c>
      <x:c r="R41" s="74" t="str">
        <x:f>IF(AND(R$4&gt;=$D41,R$4&lt;=$E41),"■","")</x:f>
        <x:v>■</x:v>
      </x:c>
      <x:c r="S41" s="74" t="str">
        <x:f>IF(AND(S$4&gt;=$D41,S$4&lt;=$E41),"■","")</x:f>
        <x:v>■</x:v>
      </x:c>
      <x:c r="T41" s="74" t="str">
        <x:f>IF(AND(T$4&gt;=$D41,T$4&lt;=$E41),"■","")</x:f>
      </x:c>
      <x:c r="U41" s="74" t="str">
        <x:f>IF(AND(U$4&gt;=$D41,U$4&lt;=$E41),"■","")</x:f>
      </x:c>
      <x:c r="V41" s="74" t="str">
        <x:f>IF(AND(V$4&gt;=$D41,V$4&lt;=$E41),"■","")</x:f>
      </x:c>
      <x:c r="W41" s="74" t="str">
        <x:f>IF(AND(W$4&gt;=$D41,W$4&lt;=$E41),"■","")</x:f>
      </x:c>
      <x:c r="X41" s="74" t="str">
        <x:f>IF(AND(X$4&gt;=$D41,X$4&lt;=$E41),"■","")</x:f>
      </x:c>
      <x:c r="Y41" s="82" t="str">
        <x:f>IF(AND(Y$4&gt;=$D41,Y$4&lt;=$E41),"■","")</x:f>
      </x:c>
    </x:row>
    <x:row r="42">
      <x:c r="A42" s="81" t="str">
        <x:v>1.7.10</x:v>
      </x:c>
      <x:c r="B42" s="66" t="str">
        <x:v>Unidad 3</x:v>
      </x:c>
      <x:c r="C42" s="64" t="str">
        <x:v>Audit &amp; Metrics</x:v>
      </x:c>
      <x:c r="D42" s="66" t="n">
        <x:v>11</x:v>
      </x:c>
      <x:c r="E42" s="66" t="n">
        <x:v>12</x:v>
      </x:c>
      <x:c r="F42" s="64" t="str">
        <x:v>módulos backend</x:v>
      </x:c>
      <x:c r="G42" s="64" t="str">
        <x:v>Auditoría/métricas</x:v>
      </x:c>
      <x:c r="H42" s="74" t="str">
        <x:f>IF(AND(H$4&gt;=$D42,H$4&lt;=$E42),"■","")</x:f>
      </x:c>
      <x:c r="I42" s="74" t="str">
        <x:f>IF(AND(I$4&gt;=$D42,I$4&lt;=$E42),"■","")</x:f>
      </x:c>
      <x:c r="J42" s="74" t="str">
        <x:f>IF(AND(J$4&gt;=$D42,J$4&lt;=$E42),"■","")</x:f>
      </x:c>
      <x:c r="K42" s="74" t="str">
        <x:f>IF(AND(K$4&gt;=$D42,K$4&lt;=$E42),"■","")</x:f>
      </x:c>
      <x:c r="L42" s="74" t="str">
        <x:f>IF(AND(L$4&gt;=$D42,L$4&lt;=$E42),"■","")</x:f>
      </x:c>
      <x:c r="M42" s="74" t="str">
        <x:f>IF(AND(M$4&gt;=$D42,M$4&lt;=$E42),"■","")</x:f>
      </x:c>
      <x:c r="N42" s="74" t="str">
        <x:f>IF(AND(N$4&gt;=$D42,N$4&lt;=$E42),"■","")</x:f>
      </x:c>
      <x:c r="O42" s="74" t="str">
        <x:f>IF(AND(O$4&gt;=$D42,O$4&lt;=$E42),"■","")</x:f>
      </x:c>
      <x:c r="P42" s="74" t="str">
        <x:f>IF(AND(P$4&gt;=$D42,P$4&lt;=$E42),"■","")</x:f>
      </x:c>
      <x:c r="Q42" s="74" t="str">
        <x:f>IF(AND(Q$4&gt;=$D42,Q$4&lt;=$E42),"■","")</x:f>
      </x:c>
      <x:c r="R42" s="74" t="str">
        <x:f>IF(AND(R$4&gt;=$D42,R$4&lt;=$E42),"■","")</x:f>
        <x:v>■</x:v>
      </x:c>
      <x:c r="S42" s="74" t="str">
        <x:f>IF(AND(S$4&gt;=$D42,S$4&lt;=$E42),"■","")</x:f>
        <x:v>■</x:v>
      </x:c>
      <x:c r="T42" s="74" t="str">
        <x:f>IF(AND(T$4&gt;=$D42,T$4&lt;=$E42),"■","")</x:f>
      </x:c>
      <x:c r="U42" s="74" t="str">
        <x:f>IF(AND(U$4&gt;=$D42,U$4&lt;=$E42),"■","")</x:f>
      </x:c>
      <x:c r="V42" s="74" t="str">
        <x:f>IF(AND(V$4&gt;=$D42,V$4&lt;=$E42),"■","")</x:f>
      </x:c>
      <x:c r="W42" s="74" t="str">
        <x:f>IF(AND(W$4&gt;=$D42,W$4&lt;=$E42),"■","")</x:f>
      </x:c>
      <x:c r="X42" s="74" t="str">
        <x:f>IF(AND(X$4&gt;=$D42,X$4&lt;=$E42),"■","")</x:f>
      </x:c>
      <x:c r="Y42" s="82" t="str">
        <x:f>IF(AND(Y$4&gt;=$D42,Y$4&lt;=$E42),"■","")</x:f>
      </x:c>
    </x:row>
    <x:row r="43">
      <x:c r="A43" s="81" t="str">
        <x:v>1.8.1</x:v>
      </x:c>
      <x:c r="B43" s="66" t="str">
        <x:v>Unidad 3</x:v>
      </x:c>
      <x:c r="C43" s="64" t="str">
        <x:v>Foundation web</x:v>
      </x:c>
      <x:c r="D43" s="66" t="n">
        <x:v>9</x:v>
      </x:c>
      <x:c r="E43" s="66" t="n">
        <x:v>9</x:v>
      </x:c>
      <x:c r="F43" s="64" t="str">
        <x:v>1.5.6</x:v>
      </x:c>
      <x:c r="G43" s="64" t="str">
        <x:v>Proyecto web base</x:v>
      </x:c>
      <x:c r="H43" s="74" t="str">
        <x:f>IF(AND(H$4&gt;=$D43,H$4&lt;=$E43),"■","")</x:f>
      </x:c>
      <x:c r="I43" s="74" t="str">
        <x:f>IF(AND(I$4&gt;=$D43,I$4&lt;=$E43),"■","")</x:f>
      </x:c>
      <x:c r="J43" s="74" t="str">
        <x:f>IF(AND(J$4&gt;=$D43,J$4&lt;=$E43),"■","")</x:f>
      </x:c>
      <x:c r="K43" s="74" t="str">
        <x:f>IF(AND(K$4&gt;=$D43,K$4&lt;=$E43),"■","")</x:f>
      </x:c>
      <x:c r="L43" s="74" t="str">
        <x:f>IF(AND(L$4&gt;=$D43,L$4&lt;=$E43),"■","")</x:f>
      </x:c>
      <x:c r="M43" s="74" t="str">
        <x:f>IF(AND(M$4&gt;=$D43,M$4&lt;=$E43),"■","")</x:f>
      </x:c>
      <x:c r="N43" s="74" t="str">
        <x:f>IF(AND(N$4&gt;=$D43,N$4&lt;=$E43),"■","")</x:f>
      </x:c>
      <x:c r="O43" s="74" t="str">
        <x:f>IF(AND(O$4&gt;=$D43,O$4&lt;=$E43),"■","")</x:f>
      </x:c>
      <x:c r="P43" s="74" t="str">
        <x:f>IF(AND(P$4&gt;=$D43,P$4&lt;=$E43),"■","")</x:f>
        <x:v>■</x:v>
      </x:c>
      <x:c r="Q43" s="74" t="str">
        <x:f>IF(AND(Q$4&gt;=$D43,Q$4&lt;=$E43),"■","")</x:f>
      </x:c>
      <x:c r="R43" s="74" t="str">
        <x:f>IF(AND(R$4&gt;=$D43,R$4&lt;=$E43),"■","")</x:f>
      </x:c>
      <x:c r="S43" s="74" t="str">
        <x:f>IF(AND(S$4&gt;=$D43,S$4&lt;=$E43),"■","")</x:f>
      </x:c>
      <x:c r="T43" s="74" t="str">
        <x:f>IF(AND(T$4&gt;=$D43,T$4&lt;=$E43),"■","")</x:f>
      </x:c>
      <x:c r="U43" s="74" t="str">
        <x:f>IF(AND(U$4&gt;=$D43,U$4&lt;=$E43),"■","")</x:f>
      </x:c>
      <x:c r="V43" s="74" t="str">
        <x:f>IF(AND(V$4&gt;=$D43,V$4&lt;=$E43),"■","")</x:f>
      </x:c>
      <x:c r="W43" s="74" t="str">
        <x:f>IF(AND(W$4&gt;=$D43,W$4&lt;=$E43),"■","")</x:f>
      </x:c>
      <x:c r="X43" s="74" t="str">
        <x:f>IF(AND(X$4&gt;=$D43,X$4&lt;=$E43),"■","")</x:f>
      </x:c>
      <x:c r="Y43" s="82" t="str">
        <x:f>IF(AND(Y$4&gt;=$D43,Y$4&lt;=$E43),"■","")</x:f>
      </x:c>
    </x:row>
    <x:row r="44">
      <x:c r="A44" s="81" t="str">
        <x:v>1.8.2</x:v>
      </x:c>
      <x:c r="B44" s="66" t="str">
        <x:v>Unidad 3</x:v>
      </x:c>
      <x:c r="C44" s="64" t="str">
        <x:v>Portal público</x:v>
      </x:c>
      <x:c r="D44" s="66" t="n">
        <x:v>9</x:v>
      </x:c>
      <x:c r="E44" s="66" t="n">
        <x:v>10</x:v>
      </x:c>
      <x:c r="F44" s="64" t="str">
        <x:v>1.8.1, 1.7.2</x:v>
      </x:c>
      <x:c r="G44" s="64" t="str">
        <x:v>Web institucional</x:v>
      </x:c>
      <x:c r="H44" s="74" t="str">
        <x:f>IF(AND(H$4&gt;=$D44,H$4&lt;=$E44),"■","")</x:f>
      </x:c>
      <x:c r="I44" s="74" t="str">
        <x:f>IF(AND(I$4&gt;=$D44,I$4&lt;=$E44),"■","")</x:f>
      </x:c>
      <x:c r="J44" s="74" t="str">
        <x:f>IF(AND(J$4&gt;=$D44,J$4&lt;=$E44),"■","")</x:f>
      </x:c>
      <x:c r="K44" s="74" t="str">
        <x:f>IF(AND(K$4&gt;=$D44,K$4&lt;=$E44),"■","")</x:f>
      </x:c>
      <x:c r="L44" s="74" t="str">
        <x:f>IF(AND(L$4&gt;=$D44,L$4&lt;=$E44),"■","")</x:f>
      </x:c>
      <x:c r="M44" s="74" t="str">
        <x:f>IF(AND(M$4&gt;=$D44,M$4&lt;=$E44),"■","")</x:f>
      </x:c>
      <x:c r="N44" s="74" t="str">
        <x:f>IF(AND(N$4&gt;=$D44,N$4&lt;=$E44),"■","")</x:f>
      </x:c>
      <x:c r="O44" s="74" t="str">
        <x:f>IF(AND(O$4&gt;=$D44,O$4&lt;=$E44),"■","")</x:f>
      </x:c>
      <x:c r="P44" s="74" t="str">
        <x:f>IF(AND(P$4&gt;=$D44,P$4&lt;=$E44),"■","")</x:f>
        <x:v>■</x:v>
      </x:c>
      <x:c r="Q44" s="74" t="str">
        <x:f>IF(AND(Q$4&gt;=$D44,Q$4&lt;=$E44),"■","")</x:f>
        <x:v>■</x:v>
      </x:c>
      <x:c r="R44" s="74" t="str">
        <x:f>IF(AND(R$4&gt;=$D44,R$4&lt;=$E44),"■","")</x:f>
      </x:c>
      <x:c r="S44" s="74" t="str">
        <x:f>IF(AND(S$4&gt;=$D44,S$4&lt;=$E44),"■","")</x:f>
      </x:c>
      <x:c r="T44" s="74" t="str">
        <x:f>IF(AND(T$4&gt;=$D44,T$4&lt;=$E44),"■","")</x:f>
      </x:c>
      <x:c r="U44" s="74" t="str">
        <x:f>IF(AND(U$4&gt;=$D44,U$4&lt;=$E44),"■","")</x:f>
      </x:c>
      <x:c r="V44" s="74" t="str">
        <x:f>IF(AND(V$4&gt;=$D44,V$4&lt;=$E44),"■","")</x:f>
      </x:c>
      <x:c r="W44" s="74" t="str">
        <x:f>IF(AND(W$4&gt;=$D44,W$4&lt;=$E44),"■","")</x:f>
      </x:c>
      <x:c r="X44" s="74" t="str">
        <x:f>IF(AND(X$4&gt;=$D44,X$4&lt;=$E44),"■","")</x:f>
      </x:c>
      <x:c r="Y44" s="82" t="str">
        <x:f>IF(AND(Y$4&gt;=$D44,Y$4&lt;=$E44),"■","")</x:f>
      </x:c>
    </x:row>
    <x:row r="45">
      <x:c r="A45" s="81" t="str">
        <x:v>1.8.3</x:v>
      </x:c>
      <x:c r="B45" s="66" t="str">
        <x:v>Unidad 3</x:v>
      </x:c>
      <x:c r="C45" s="64" t="str">
        <x:v>Portal de reservas</x:v>
      </x:c>
      <x:c r="D45" s="66" t="n">
        <x:v>10</x:v>
      </x:c>
      <x:c r="E45" s="66" t="n">
        <x:v>12</x:v>
      </x:c>
      <x:c r="F45" s="64" t="str">
        <x:v>1.7.5</x:v>
      </x:c>
      <x:c r="G45" s="64" t="str">
        <x:v>Reserva web</x:v>
      </x:c>
      <x:c r="H45" s="74" t="str">
        <x:f>IF(AND(H$4&gt;=$D45,H$4&lt;=$E45),"■","")</x:f>
      </x:c>
      <x:c r="I45" s="74" t="str">
        <x:f>IF(AND(I$4&gt;=$D45,I$4&lt;=$E45),"■","")</x:f>
      </x:c>
      <x:c r="J45" s="74" t="str">
        <x:f>IF(AND(J$4&gt;=$D45,J$4&lt;=$E45),"■","")</x:f>
      </x:c>
      <x:c r="K45" s="74" t="str">
        <x:f>IF(AND(K$4&gt;=$D45,K$4&lt;=$E45),"■","")</x:f>
      </x:c>
      <x:c r="L45" s="74" t="str">
        <x:f>IF(AND(L$4&gt;=$D45,L$4&lt;=$E45),"■","")</x:f>
      </x:c>
      <x:c r="M45" s="74" t="str">
        <x:f>IF(AND(M$4&gt;=$D45,M$4&lt;=$E45),"■","")</x:f>
      </x:c>
      <x:c r="N45" s="74" t="str">
        <x:f>IF(AND(N$4&gt;=$D45,N$4&lt;=$E45),"■","")</x:f>
      </x:c>
      <x:c r="O45" s="74" t="str">
        <x:f>IF(AND(O$4&gt;=$D45,O$4&lt;=$E45),"■","")</x:f>
      </x:c>
      <x:c r="P45" s="74" t="str">
        <x:f>IF(AND(P$4&gt;=$D45,P$4&lt;=$E45),"■","")</x:f>
      </x:c>
      <x:c r="Q45" s="74" t="str">
        <x:f>IF(AND(Q$4&gt;=$D45,Q$4&lt;=$E45),"■","")</x:f>
        <x:v>■</x:v>
      </x:c>
      <x:c r="R45" s="74" t="str">
        <x:f>IF(AND(R$4&gt;=$D45,R$4&lt;=$E45),"■","")</x:f>
        <x:v>■</x:v>
      </x:c>
      <x:c r="S45" s="74" t="str">
        <x:f>IF(AND(S$4&gt;=$D45,S$4&lt;=$E45),"■","")</x:f>
        <x:v>■</x:v>
      </x:c>
      <x:c r="T45" s="74" t="str">
        <x:f>IF(AND(T$4&gt;=$D45,T$4&lt;=$E45),"■","")</x:f>
      </x:c>
      <x:c r="U45" s="74" t="str">
        <x:f>IF(AND(U$4&gt;=$D45,U$4&lt;=$E45),"■","")</x:f>
      </x:c>
      <x:c r="V45" s="74" t="str">
        <x:f>IF(AND(V$4&gt;=$D45,V$4&lt;=$E45),"■","")</x:f>
      </x:c>
      <x:c r="W45" s="74" t="str">
        <x:f>IF(AND(W$4&gt;=$D45,W$4&lt;=$E45),"■","")</x:f>
      </x:c>
      <x:c r="X45" s="74" t="str">
        <x:f>IF(AND(X$4&gt;=$D45,X$4&lt;=$E45),"■","")</x:f>
      </x:c>
      <x:c r="Y45" s="82" t="str">
        <x:f>IF(AND(Y$4&gt;=$D45,Y$4&lt;=$E45),"■","")</x:f>
      </x:c>
    </x:row>
    <x:row r="46">
      <x:c r="A46" s="81" t="str">
        <x:v>1.8.4</x:v>
      </x:c>
      <x:c r="B46" s="66" t="str">
        <x:v>Unidad 3</x:v>
      </x:c>
      <x:c r="C46" s="64" t="str">
        <x:v>Web operativa</x:v>
      </x:c>
      <x:c r="D46" s="66" t="n">
        <x:v>10</x:v>
      </x:c>
      <x:c r="E46" s="66" t="n">
        <x:v>12</x:v>
      </x:c>
      <x:c r="F46" s="64" t="str">
        <x:v>backend progresivo</x:v>
      </x:c>
      <x:c r="G46" s="64" t="str">
        <x:v>Backoffice</x:v>
      </x:c>
      <x:c r="H46" s="74" t="str">
        <x:f>IF(AND(H$4&gt;=$D46,H$4&lt;=$E46),"■","")</x:f>
      </x:c>
      <x:c r="I46" s="74" t="str">
        <x:f>IF(AND(I$4&gt;=$D46,I$4&lt;=$E46),"■","")</x:f>
      </x:c>
      <x:c r="J46" s="74" t="str">
        <x:f>IF(AND(J$4&gt;=$D46,J$4&lt;=$E46),"■","")</x:f>
      </x:c>
      <x:c r="K46" s="74" t="str">
        <x:f>IF(AND(K$4&gt;=$D46,K$4&lt;=$E46),"■","")</x:f>
      </x:c>
      <x:c r="L46" s="74" t="str">
        <x:f>IF(AND(L$4&gt;=$D46,L$4&lt;=$E46),"■","")</x:f>
      </x:c>
      <x:c r="M46" s="74" t="str">
        <x:f>IF(AND(M$4&gt;=$D46,M$4&lt;=$E46),"■","")</x:f>
      </x:c>
      <x:c r="N46" s="74" t="str">
        <x:f>IF(AND(N$4&gt;=$D46,N$4&lt;=$E46),"■","")</x:f>
      </x:c>
      <x:c r="O46" s="74" t="str">
        <x:f>IF(AND(O$4&gt;=$D46,O$4&lt;=$E46),"■","")</x:f>
      </x:c>
      <x:c r="P46" s="74" t="str">
        <x:f>IF(AND(P$4&gt;=$D46,P$4&lt;=$E46),"■","")</x:f>
      </x:c>
      <x:c r="Q46" s="74" t="str">
        <x:f>IF(AND(Q$4&gt;=$D46,Q$4&lt;=$E46),"■","")</x:f>
        <x:v>■</x:v>
      </x:c>
      <x:c r="R46" s="74" t="str">
        <x:f>IF(AND(R$4&gt;=$D46,R$4&lt;=$E46),"■","")</x:f>
        <x:v>■</x:v>
      </x:c>
      <x:c r="S46" s="74" t="str">
        <x:f>IF(AND(S$4&gt;=$D46,S$4&lt;=$E46),"■","")</x:f>
        <x:v>■</x:v>
      </x:c>
      <x:c r="T46" s="74" t="str">
        <x:f>IF(AND(T$4&gt;=$D46,T$4&lt;=$E46),"■","")</x:f>
      </x:c>
      <x:c r="U46" s="74" t="str">
        <x:f>IF(AND(U$4&gt;=$D46,U$4&lt;=$E46),"■","")</x:f>
      </x:c>
      <x:c r="V46" s="74" t="str">
        <x:f>IF(AND(V$4&gt;=$D46,V$4&lt;=$E46),"■","")</x:f>
      </x:c>
      <x:c r="W46" s="74" t="str">
        <x:f>IF(AND(W$4&gt;=$D46,W$4&lt;=$E46),"■","")</x:f>
      </x:c>
      <x:c r="X46" s="74" t="str">
        <x:f>IF(AND(X$4&gt;=$D46,X$4&lt;=$E46),"■","")</x:f>
      </x:c>
      <x:c r="Y46" s="82" t="str">
        <x:f>IF(AND(Y$4&gt;=$D46,Y$4&lt;=$E46),"■","")</x:f>
      </x:c>
    </x:row>
    <x:row r="47">
      <x:c r="A47" s="81" t="str">
        <x:v>1.8.5</x:v>
      </x:c>
      <x:c r="B47" s="66" t="str">
        <x:v>Unidad 3</x:v>
      </x:c>
      <x:c r="C47" s="64" t="str">
        <x:v>Accesibilidad web</x:v>
      </x:c>
      <x:c r="D47" s="66" t="n">
        <x:v>9</x:v>
      </x:c>
      <x:c r="E47" s="66" t="n">
        <x:v>12</x:v>
      </x:c>
      <x:c r="F47" s="64" t="str">
        <x:v>1.8.1</x:v>
      </x:c>
      <x:c r="G47" s="64" t="str">
        <x:v>Accesibilidad integrada</x:v>
      </x:c>
      <x:c r="H47" s="74" t="str">
        <x:f>IF(AND(H$4&gt;=$D47,H$4&lt;=$E47),"■","")</x:f>
      </x:c>
      <x:c r="I47" s="74" t="str">
        <x:f>IF(AND(I$4&gt;=$D47,I$4&lt;=$E47),"■","")</x:f>
      </x:c>
      <x:c r="J47" s="74" t="str">
        <x:f>IF(AND(J$4&gt;=$D47,J$4&lt;=$E47),"■","")</x:f>
      </x:c>
      <x:c r="K47" s="74" t="str">
        <x:f>IF(AND(K$4&gt;=$D47,K$4&lt;=$E47),"■","")</x:f>
      </x:c>
      <x:c r="L47" s="74" t="str">
        <x:f>IF(AND(L$4&gt;=$D47,L$4&lt;=$E47),"■","")</x:f>
      </x:c>
      <x:c r="M47" s="74" t="str">
        <x:f>IF(AND(M$4&gt;=$D47,M$4&lt;=$E47),"■","")</x:f>
      </x:c>
      <x:c r="N47" s="74" t="str">
        <x:f>IF(AND(N$4&gt;=$D47,N$4&lt;=$E47),"■","")</x:f>
      </x:c>
      <x:c r="O47" s="74" t="str">
        <x:f>IF(AND(O$4&gt;=$D47,O$4&lt;=$E47),"■","")</x:f>
      </x:c>
      <x:c r="P47" s="74" t="str">
        <x:f>IF(AND(P$4&gt;=$D47,P$4&lt;=$E47),"■","")</x:f>
        <x:v>■</x:v>
      </x:c>
      <x:c r="Q47" s="74" t="str">
        <x:f>IF(AND(Q$4&gt;=$D47,Q$4&lt;=$E47),"■","")</x:f>
        <x:v>■</x:v>
      </x:c>
      <x:c r="R47" s="74" t="str">
        <x:f>IF(AND(R$4&gt;=$D47,R$4&lt;=$E47),"■","")</x:f>
        <x:v>■</x:v>
      </x:c>
      <x:c r="S47" s="74" t="str">
        <x:f>IF(AND(S$4&gt;=$D47,S$4&lt;=$E47),"■","")</x:f>
        <x:v>■</x:v>
      </x:c>
      <x:c r="T47" s="74" t="str">
        <x:f>IF(AND(T$4&gt;=$D47,T$4&lt;=$E47),"■","")</x:f>
      </x:c>
      <x:c r="U47" s="74" t="str">
        <x:f>IF(AND(U$4&gt;=$D47,U$4&lt;=$E47),"■","")</x:f>
      </x:c>
      <x:c r="V47" s="74" t="str">
        <x:f>IF(AND(V$4&gt;=$D47,V$4&lt;=$E47),"■","")</x:f>
      </x:c>
      <x:c r="W47" s="74" t="str">
        <x:f>IF(AND(W$4&gt;=$D47,W$4&lt;=$E47),"■","")</x:f>
      </x:c>
      <x:c r="X47" s="74" t="str">
        <x:f>IF(AND(X$4&gt;=$D47,X$4&lt;=$E47),"■","")</x:f>
      </x:c>
      <x:c r="Y47" s="82" t="str">
        <x:f>IF(AND(Y$4&gt;=$D47,Y$4&lt;=$E47),"■","")</x:f>
      </x:c>
    </x:row>
    <x:row r="48">
      <x:c r="A48" s="81" t="str">
        <x:v>1.9.1</x:v>
      </x:c>
      <x:c r="B48" s="66" t="str">
        <x:v>Unidad 3</x:v>
      </x:c>
      <x:c r="C48" s="64" t="str">
        <x:v>Foundation móvil</x:v>
      </x:c>
      <x:c r="D48" s="66" t="n">
        <x:v>9</x:v>
      </x:c>
      <x:c r="E48" s="66" t="n">
        <x:v>9</x:v>
      </x:c>
      <x:c r="F48" s="64" t="str">
        <x:v>1.5.6</x:v>
      </x:c>
      <x:c r="G48" s="64" t="str">
        <x:v>Proyecto móvil base</x:v>
      </x:c>
      <x:c r="H48" s="74" t="str">
        <x:f>IF(AND(H$4&gt;=$D48,H$4&lt;=$E48),"■","")</x:f>
      </x:c>
      <x:c r="I48" s="74" t="str">
        <x:f>IF(AND(I$4&gt;=$D48,I$4&lt;=$E48),"■","")</x:f>
      </x:c>
      <x:c r="J48" s="74" t="str">
        <x:f>IF(AND(J$4&gt;=$D48,J$4&lt;=$E48),"■","")</x:f>
      </x:c>
      <x:c r="K48" s="74" t="str">
        <x:f>IF(AND(K$4&gt;=$D48,K$4&lt;=$E48),"■","")</x:f>
      </x:c>
      <x:c r="L48" s="74" t="str">
        <x:f>IF(AND(L$4&gt;=$D48,L$4&lt;=$E48),"■","")</x:f>
      </x:c>
      <x:c r="M48" s="74" t="str">
        <x:f>IF(AND(M$4&gt;=$D48,M$4&lt;=$E48),"■","")</x:f>
      </x:c>
      <x:c r="N48" s="74" t="str">
        <x:f>IF(AND(N$4&gt;=$D48,N$4&lt;=$E48),"■","")</x:f>
      </x:c>
      <x:c r="O48" s="74" t="str">
        <x:f>IF(AND(O$4&gt;=$D48,O$4&lt;=$E48),"■","")</x:f>
      </x:c>
      <x:c r="P48" s="74" t="str">
        <x:f>IF(AND(P$4&gt;=$D48,P$4&lt;=$E48),"■","")</x:f>
        <x:v>■</x:v>
      </x:c>
      <x:c r="Q48" s="74" t="str">
        <x:f>IF(AND(Q$4&gt;=$D48,Q$4&lt;=$E48),"■","")</x:f>
      </x:c>
      <x:c r="R48" s="74" t="str">
        <x:f>IF(AND(R$4&gt;=$D48,R$4&lt;=$E48),"■","")</x:f>
      </x:c>
      <x:c r="S48" s="74" t="str">
        <x:f>IF(AND(S$4&gt;=$D48,S$4&lt;=$E48),"■","")</x:f>
      </x:c>
      <x:c r="T48" s="74" t="str">
        <x:f>IF(AND(T$4&gt;=$D48,T$4&lt;=$E48),"■","")</x:f>
      </x:c>
      <x:c r="U48" s="74" t="str">
        <x:f>IF(AND(U$4&gt;=$D48,U$4&lt;=$E48),"■","")</x:f>
      </x:c>
      <x:c r="V48" s="74" t="str">
        <x:f>IF(AND(V$4&gt;=$D48,V$4&lt;=$E48),"■","")</x:f>
      </x:c>
      <x:c r="W48" s="74" t="str">
        <x:f>IF(AND(W$4&gt;=$D48,W$4&lt;=$E48),"■","")</x:f>
      </x:c>
      <x:c r="X48" s="74" t="str">
        <x:f>IF(AND(X$4&gt;=$D48,X$4&lt;=$E48),"■","")</x:f>
      </x:c>
      <x:c r="Y48" s="82" t="str">
        <x:f>IF(AND(Y$4&gt;=$D48,Y$4&lt;=$E48),"■","")</x:f>
      </x:c>
    </x:row>
    <x:row r="49">
      <x:c r="A49" s="81" t="str">
        <x:v>1.9.2</x:v>
      </x:c>
      <x:c r="B49" s="66" t="str">
        <x:v>Unidad 3</x:v>
      </x:c>
      <x:c r="C49" s="64" t="str">
        <x:v>Autenticación móvil</x:v>
      </x:c>
      <x:c r="D49" s="66" t="n">
        <x:v>9</x:v>
      </x:c>
      <x:c r="E49" s="66" t="n">
        <x:v>10</x:v>
      </x:c>
      <x:c r="F49" s="64" t="str">
        <x:v>1.7.1</x:v>
      </x:c>
      <x:c r="G49" s="64" t="str">
        <x:v>Login seguro</x:v>
      </x:c>
      <x:c r="H49" s="74" t="str">
        <x:f>IF(AND(H$4&gt;=$D49,H$4&lt;=$E49),"■","")</x:f>
      </x:c>
      <x:c r="I49" s="74" t="str">
        <x:f>IF(AND(I$4&gt;=$D49,I$4&lt;=$E49),"■","")</x:f>
      </x:c>
      <x:c r="J49" s="74" t="str">
        <x:f>IF(AND(J$4&gt;=$D49,J$4&lt;=$E49),"■","")</x:f>
      </x:c>
      <x:c r="K49" s="74" t="str">
        <x:f>IF(AND(K$4&gt;=$D49,K$4&lt;=$E49),"■","")</x:f>
      </x:c>
      <x:c r="L49" s="74" t="str">
        <x:f>IF(AND(L$4&gt;=$D49,L$4&lt;=$E49),"■","")</x:f>
      </x:c>
      <x:c r="M49" s="74" t="str">
        <x:f>IF(AND(M$4&gt;=$D49,M$4&lt;=$E49),"■","")</x:f>
      </x:c>
      <x:c r="N49" s="74" t="str">
        <x:f>IF(AND(N$4&gt;=$D49,N$4&lt;=$E49),"■","")</x:f>
      </x:c>
      <x:c r="O49" s="74" t="str">
        <x:f>IF(AND(O$4&gt;=$D49,O$4&lt;=$E49),"■","")</x:f>
      </x:c>
      <x:c r="P49" s="74" t="str">
        <x:f>IF(AND(P$4&gt;=$D49,P$4&lt;=$E49),"■","")</x:f>
        <x:v>■</x:v>
      </x:c>
      <x:c r="Q49" s="74" t="str">
        <x:f>IF(AND(Q$4&gt;=$D49,Q$4&lt;=$E49),"■","")</x:f>
        <x:v>■</x:v>
      </x:c>
      <x:c r="R49" s="74" t="str">
        <x:f>IF(AND(R$4&gt;=$D49,R$4&lt;=$E49),"■","")</x:f>
      </x:c>
      <x:c r="S49" s="74" t="str">
        <x:f>IF(AND(S$4&gt;=$D49,S$4&lt;=$E49),"■","")</x:f>
      </x:c>
      <x:c r="T49" s="74" t="str">
        <x:f>IF(AND(T$4&gt;=$D49,T$4&lt;=$E49),"■","")</x:f>
      </x:c>
      <x:c r="U49" s="74" t="str">
        <x:f>IF(AND(U$4&gt;=$D49,U$4&lt;=$E49),"■","")</x:f>
      </x:c>
      <x:c r="V49" s="74" t="str">
        <x:f>IF(AND(V$4&gt;=$D49,V$4&lt;=$E49),"■","")</x:f>
      </x:c>
      <x:c r="W49" s="74" t="str">
        <x:f>IF(AND(W$4&gt;=$D49,W$4&lt;=$E49),"■","")</x:f>
      </x:c>
      <x:c r="X49" s="74" t="str">
        <x:f>IF(AND(X$4&gt;=$D49,X$4&lt;=$E49),"■","")</x:f>
      </x:c>
      <x:c r="Y49" s="82" t="str">
        <x:f>IF(AND(Y$4&gt;=$D49,Y$4&lt;=$E49),"■","")</x:f>
      </x:c>
    </x:row>
    <x:row r="50">
      <x:c r="A50" s="81" t="str">
        <x:v>1.9.3</x:v>
      </x:c>
      <x:c r="B50" s="66" t="str">
        <x:v>Unidad 3</x:v>
      </x:c>
      <x:c r="C50" s="64" t="str">
        <x:v>Gestión de citas móvil</x:v>
      </x:c>
      <x:c r="D50" s="66" t="n">
        <x:v>10</x:v>
      </x:c>
      <x:c r="E50" s="66" t="n">
        <x:v>12</x:v>
      </x:c>
      <x:c r="F50" s="64" t="str">
        <x:v>1.7.5</x:v>
      </x:c>
      <x:c r="G50" s="64" t="str">
        <x:v>Reserva y mis citas</x:v>
      </x:c>
      <x:c r="H50" s="74" t="str">
        <x:f>IF(AND(H$4&gt;=$D50,H$4&lt;=$E50),"■","")</x:f>
      </x:c>
      <x:c r="I50" s="74" t="str">
        <x:f>IF(AND(I$4&gt;=$D50,I$4&lt;=$E50),"■","")</x:f>
      </x:c>
      <x:c r="J50" s="74" t="str">
        <x:f>IF(AND(J$4&gt;=$D50,J$4&lt;=$E50),"■","")</x:f>
      </x:c>
      <x:c r="K50" s="74" t="str">
        <x:f>IF(AND(K$4&gt;=$D50,K$4&lt;=$E50),"■","")</x:f>
      </x:c>
      <x:c r="L50" s="74" t="str">
        <x:f>IF(AND(L$4&gt;=$D50,L$4&lt;=$E50),"■","")</x:f>
      </x:c>
      <x:c r="M50" s="74" t="str">
        <x:f>IF(AND(M$4&gt;=$D50,M$4&lt;=$E50),"■","")</x:f>
      </x:c>
      <x:c r="N50" s="74" t="str">
        <x:f>IF(AND(N$4&gt;=$D50,N$4&lt;=$E50),"■","")</x:f>
      </x:c>
      <x:c r="O50" s="74" t="str">
        <x:f>IF(AND(O$4&gt;=$D50,O$4&lt;=$E50),"■","")</x:f>
      </x:c>
      <x:c r="P50" s="74" t="str">
        <x:f>IF(AND(P$4&gt;=$D50,P$4&lt;=$E50),"■","")</x:f>
      </x:c>
      <x:c r="Q50" s="74" t="str">
        <x:f>IF(AND(Q$4&gt;=$D50,Q$4&lt;=$E50),"■","")</x:f>
        <x:v>■</x:v>
      </x:c>
      <x:c r="R50" s="74" t="str">
        <x:f>IF(AND(R$4&gt;=$D50,R$4&lt;=$E50),"■","")</x:f>
        <x:v>■</x:v>
      </x:c>
      <x:c r="S50" s="74" t="str">
        <x:f>IF(AND(S$4&gt;=$D50,S$4&lt;=$E50),"■","")</x:f>
        <x:v>■</x:v>
      </x:c>
      <x:c r="T50" s="74" t="str">
        <x:f>IF(AND(T$4&gt;=$D50,T$4&lt;=$E50),"■","")</x:f>
      </x:c>
      <x:c r="U50" s="74" t="str">
        <x:f>IF(AND(U$4&gt;=$D50,U$4&lt;=$E50),"■","")</x:f>
      </x:c>
      <x:c r="V50" s="74" t="str">
        <x:f>IF(AND(V$4&gt;=$D50,V$4&lt;=$E50),"■","")</x:f>
      </x:c>
      <x:c r="W50" s="74" t="str">
        <x:f>IF(AND(W$4&gt;=$D50,W$4&lt;=$E50),"■","")</x:f>
      </x:c>
      <x:c r="X50" s="74" t="str">
        <x:f>IF(AND(X$4&gt;=$D50,X$4&lt;=$E50),"■","")</x:f>
      </x:c>
      <x:c r="Y50" s="82" t="str">
        <x:f>IF(AND(Y$4&gt;=$D50,Y$4&lt;=$E50),"■","")</x:f>
      </x:c>
    </x:row>
    <x:row r="51">
      <x:c r="A51" s="81" t="str">
        <x:v>1.9.4</x:v>
      </x:c>
      <x:c r="B51" s="66" t="str">
        <x:v>Unidad 3</x:v>
      </x:c>
      <x:c r="C51" s="64" t="str">
        <x:v>Waitlist móvil</x:v>
      </x:c>
      <x:c r="D51" s="66" t="n">
        <x:v>11</x:v>
      </x:c>
      <x:c r="E51" s="66" t="n">
        <x:v>12</x:v>
      </x:c>
      <x:c r="F51" s="64" t="str">
        <x:v>1.7.7</x:v>
      </x:c>
      <x:c r="G51" s="64" t="str">
        <x:v>Ofertas de cupos</x:v>
      </x:c>
      <x:c r="H51" s="74" t="str">
        <x:f>IF(AND(H$4&gt;=$D51,H$4&lt;=$E51),"■","")</x:f>
      </x:c>
      <x:c r="I51" s="74" t="str">
        <x:f>IF(AND(I$4&gt;=$D51,I$4&lt;=$E51),"■","")</x:f>
      </x:c>
      <x:c r="J51" s="74" t="str">
        <x:f>IF(AND(J$4&gt;=$D51,J$4&lt;=$E51),"■","")</x:f>
      </x:c>
      <x:c r="K51" s="74" t="str">
        <x:f>IF(AND(K$4&gt;=$D51,K$4&lt;=$E51),"■","")</x:f>
      </x:c>
      <x:c r="L51" s="74" t="str">
        <x:f>IF(AND(L$4&gt;=$D51,L$4&lt;=$E51),"■","")</x:f>
      </x:c>
      <x:c r="M51" s="74" t="str">
        <x:f>IF(AND(M$4&gt;=$D51,M$4&lt;=$E51),"■","")</x:f>
      </x:c>
      <x:c r="N51" s="74" t="str">
        <x:f>IF(AND(N$4&gt;=$D51,N$4&lt;=$E51),"■","")</x:f>
      </x:c>
      <x:c r="O51" s="74" t="str">
        <x:f>IF(AND(O$4&gt;=$D51,O$4&lt;=$E51),"■","")</x:f>
      </x:c>
      <x:c r="P51" s="74" t="str">
        <x:f>IF(AND(P$4&gt;=$D51,P$4&lt;=$E51),"■","")</x:f>
      </x:c>
      <x:c r="Q51" s="74" t="str">
        <x:f>IF(AND(Q$4&gt;=$D51,Q$4&lt;=$E51),"■","")</x:f>
      </x:c>
      <x:c r="R51" s="74" t="str">
        <x:f>IF(AND(R$4&gt;=$D51,R$4&lt;=$E51),"■","")</x:f>
        <x:v>■</x:v>
      </x:c>
      <x:c r="S51" s="74" t="str">
        <x:f>IF(AND(S$4&gt;=$D51,S$4&lt;=$E51),"■","")</x:f>
        <x:v>■</x:v>
      </x:c>
      <x:c r="T51" s="74" t="str">
        <x:f>IF(AND(T$4&gt;=$D51,T$4&lt;=$E51),"■","")</x:f>
      </x:c>
      <x:c r="U51" s="74" t="str">
        <x:f>IF(AND(U$4&gt;=$D51,U$4&lt;=$E51),"■","")</x:f>
      </x:c>
      <x:c r="V51" s="74" t="str">
        <x:f>IF(AND(V$4&gt;=$D51,V$4&lt;=$E51),"■","")</x:f>
      </x:c>
      <x:c r="W51" s="74" t="str">
        <x:f>IF(AND(W$4&gt;=$D51,W$4&lt;=$E51),"■","")</x:f>
      </x:c>
      <x:c r="X51" s="74" t="str">
        <x:f>IF(AND(X$4&gt;=$D51,X$4&lt;=$E51),"■","")</x:f>
      </x:c>
      <x:c r="Y51" s="82" t="str">
        <x:f>IF(AND(Y$4&gt;=$D51,Y$4&lt;=$E51),"■","")</x:f>
      </x:c>
    </x:row>
    <x:row r="52">
      <x:c r="A52" s="81" t="str">
        <x:v>1.9.5</x:v>
      </x:c>
      <x:c r="B52" s="66" t="str">
        <x:v>Unidad 3</x:v>
      </x:c>
      <x:c r="C52" s="64" t="str">
        <x:v>Notificaciones móvil</x:v>
      </x:c>
      <x:c r="D52" s="66" t="n">
        <x:v>11</x:v>
      </x:c>
      <x:c r="E52" s="66" t="n">
        <x:v>12</x:v>
      </x:c>
      <x:c r="F52" s="64" t="str">
        <x:v>1.7.8</x:v>
      </x:c>
      <x:c r="G52" s="64" t="str">
        <x:v>Push</x:v>
      </x:c>
      <x:c r="H52" s="74" t="str">
        <x:f>IF(AND(H$4&gt;=$D52,H$4&lt;=$E52),"■","")</x:f>
      </x:c>
      <x:c r="I52" s="74" t="str">
        <x:f>IF(AND(I$4&gt;=$D52,I$4&lt;=$E52),"■","")</x:f>
      </x:c>
      <x:c r="J52" s="74" t="str">
        <x:f>IF(AND(J$4&gt;=$D52,J$4&lt;=$E52),"■","")</x:f>
      </x:c>
      <x:c r="K52" s="74" t="str">
        <x:f>IF(AND(K$4&gt;=$D52,K$4&lt;=$E52),"■","")</x:f>
      </x:c>
      <x:c r="L52" s="74" t="str">
        <x:f>IF(AND(L$4&gt;=$D52,L$4&lt;=$E52),"■","")</x:f>
      </x:c>
      <x:c r="M52" s="74" t="str">
        <x:f>IF(AND(M$4&gt;=$D52,M$4&lt;=$E52),"■","")</x:f>
      </x:c>
      <x:c r="N52" s="74" t="str">
        <x:f>IF(AND(N$4&gt;=$D52,N$4&lt;=$E52),"■","")</x:f>
      </x:c>
      <x:c r="O52" s="74" t="str">
        <x:f>IF(AND(O$4&gt;=$D52,O$4&lt;=$E52),"■","")</x:f>
      </x:c>
      <x:c r="P52" s="74" t="str">
        <x:f>IF(AND(P$4&gt;=$D52,P$4&lt;=$E52),"■","")</x:f>
      </x:c>
      <x:c r="Q52" s="74" t="str">
        <x:f>IF(AND(Q$4&gt;=$D52,Q$4&lt;=$E52),"■","")</x:f>
      </x:c>
      <x:c r="R52" s="74" t="str">
        <x:f>IF(AND(R$4&gt;=$D52,R$4&lt;=$E52),"■","")</x:f>
        <x:v>■</x:v>
      </x:c>
      <x:c r="S52" s="74" t="str">
        <x:f>IF(AND(S$4&gt;=$D52,S$4&lt;=$E52),"■","")</x:f>
        <x:v>■</x:v>
      </x:c>
      <x:c r="T52" s="74" t="str">
        <x:f>IF(AND(T$4&gt;=$D52,T$4&lt;=$E52),"■","")</x:f>
      </x:c>
      <x:c r="U52" s="74" t="str">
        <x:f>IF(AND(U$4&gt;=$D52,U$4&lt;=$E52),"■","")</x:f>
      </x:c>
      <x:c r="V52" s="74" t="str">
        <x:f>IF(AND(V$4&gt;=$D52,V$4&lt;=$E52),"■","")</x:f>
      </x:c>
      <x:c r="W52" s="74" t="str">
        <x:f>IF(AND(W$4&gt;=$D52,W$4&lt;=$E52),"■","")</x:f>
      </x:c>
      <x:c r="X52" s="74" t="str">
        <x:f>IF(AND(X$4&gt;=$D52,X$4&lt;=$E52),"■","")</x:f>
      </x:c>
      <x:c r="Y52" s="82" t="str">
        <x:f>IF(AND(Y$4&gt;=$D52,Y$4&lt;=$E52),"■","")</x:f>
      </x:c>
    </x:row>
    <x:row r="53">
      <x:c r="A53" s="81" t="str">
        <x:v>1.9.6</x:v>
      </x:c>
      <x:c r="B53" s="66" t="str">
        <x:v>Unidad 3</x:v>
      </x:c>
      <x:c r="C53" s="64" t="str">
        <x:v>Seguimiento móvil</x:v>
      </x:c>
      <x:c r="D53" s="66" t="n">
        <x:v>11</x:v>
      </x:c>
      <x:c r="E53" s="66" t="n">
        <x:v>12</x:v>
      </x:c>
      <x:c r="F53" s="64" t="str">
        <x:v>1.7.9</x:v>
      </x:c>
      <x:c r="G53" s="64" t="str">
        <x:v>Estado/check-in</x:v>
      </x:c>
      <x:c r="H53" s="74" t="str">
        <x:f>IF(AND(H$4&gt;=$D53,H$4&lt;=$E53),"■","")</x:f>
      </x:c>
      <x:c r="I53" s="74" t="str">
        <x:f>IF(AND(I$4&gt;=$D53,I$4&lt;=$E53),"■","")</x:f>
      </x:c>
      <x:c r="J53" s="74" t="str">
        <x:f>IF(AND(J$4&gt;=$D53,J$4&lt;=$E53),"■","")</x:f>
      </x:c>
      <x:c r="K53" s="74" t="str">
        <x:f>IF(AND(K$4&gt;=$D53,K$4&lt;=$E53),"■","")</x:f>
      </x:c>
      <x:c r="L53" s="74" t="str">
        <x:f>IF(AND(L$4&gt;=$D53,L$4&lt;=$E53),"■","")</x:f>
      </x:c>
      <x:c r="M53" s="74" t="str">
        <x:f>IF(AND(M$4&gt;=$D53,M$4&lt;=$E53),"■","")</x:f>
      </x:c>
      <x:c r="N53" s="74" t="str">
        <x:f>IF(AND(N$4&gt;=$D53,N$4&lt;=$E53),"■","")</x:f>
      </x:c>
      <x:c r="O53" s="74" t="str">
        <x:f>IF(AND(O$4&gt;=$D53,O$4&lt;=$E53),"■","")</x:f>
      </x:c>
      <x:c r="P53" s="74" t="str">
        <x:f>IF(AND(P$4&gt;=$D53,P$4&lt;=$E53),"■","")</x:f>
      </x:c>
      <x:c r="Q53" s="74" t="str">
        <x:f>IF(AND(Q$4&gt;=$D53,Q$4&lt;=$E53),"■","")</x:f>
      </x:c>
      <x:c r="R53" s="74" t="str">
        <x:f>IF(AND(R$4&gt;=$D53,R$4&lt;=$E53),"■","")</x:f>
        <x:v>■</x:v>
      </x:c>
      <x:c r="S53" s="74" t="str">
        <x:f>IF(AND(S$4&gt;=$D53,S$4&lt;=$E53),"■","")</x:f>
        <x:v>■</x:v>
      </x:c>
      <x:c r="T53" s="74" t="str">
        <x:f>IF(AND(T$4&gt;=$D53,T$4&lt;=$E53),"■","")</x:f>
      </x:c>
      <x:c r="U53" s="74" t="str">
        <x:f>IF(AND(U$4&gt;=$D53,U$4&lt;=$E53),"■","")</x:f>
      </x:c>
      <x:c r="V53" s="74" t="str">
        <x:f>IF(AND(V$4&gt;=$D53,V$4&lt;=$E53),"■","")</x:f>
      </x:c>
      <x:c r="W53" s="74" t="str">
        <x:f>IF(AND(W$4&gt;=$D53,W$4&lt;=$E53),"■","")</x:f>
      </x:c>
      <x:c r="X53" s="74" t="str">
        <x:f>IF(AND(X$4&gt;=$D53,X$4&lt;=$E53),"■","")</x:f>
      </x:c>
      <x:c r="Y53" s="82" t="str">
        <x:f>IF(AND(Y$4&gt;=$D53,Y$4&lt;=$E53),"■","")</x:f>
      </x:c>
    </x:row>
    <x:row r="54">
      <x:c r="A54" s="81" t="str">
        <x:v>1.9.7</x:v>
      </x:c>
      <x:c r="B54" s="66" t="str">
        <x:v>Unidad 3</x:v>
      </x:c>
      <x:c r="C54" s="64" t="str">
        <x:v>Accesibilidad móvil</x:v>
      </x:c>
      <x:c r="D54" s="66" t="n">
        <x:v>9</x:v>
      </x:c>
      <x:c r="E54" s="66" t="n">
        <x:v>12</x:v>
      </x:c>
      <x:c r="F54" s="64" t="str">
        <x:v>1.9.1</x:v>
      </x:c>
      <x:c r="G54" s="64" t="str">
        <x:v>Accesibilidad integrada</x:v>
      </x:c>
      <x:c r="H54" s="74" t="str">
        <x:f>IF(AND(H$4&gt;=$D54,H$4&lt;=$E54),"■","")</x:f>
      </x:c>
      <x:c r="I54" s="74" t="str">
        <x:f>IF(AND(I$4&gt;=$D54,I$4&lt;=$E54),"■","")</x:f>
      </x:c>
      <x:c r="J54" s="74" t="str">
        <x:f>IF(AND(J$4&gt;=$D54,J$4&lt;=$E54),"■","")</x:f>
      </x:c>
      <x:c r="K54" s="74" t="str">
        <x:f>IF(AND(K$4&gt;=$D54,K$4&lt;=$E54),"■","")</x:f>
      </x:c>
      <x:c r="L54" s="74" t="str">
        <x:f>IF(AND(L$4&gt;=$D54,L$4&lt;=$E54),"■","")</x:f>
      </x:c>
      <x:c r="M54" s="74" t="str">
        <x:f>IF(AND(M$4&gt;=$D54,M$4&lt;=$E54),"■","")</x:f>
      </x:c>
      <x:c r="N54" s="74" t="str">
        <x:f>IF(AND(N$4&gt;=$D54,N$4&lt;=$E54),"■","")</x:f>
      </x:c>
      <x:c r="O54" s="74" t="str">
        <x:f>IF(AND(O$4&gt;=$D54,O$4&lt;=$E54),"■","")</x:f>
      </x:c>
      <x:c r="P54" s="74" t="str">
        <x:f>IF(AND(P$4&gt;=$D54,P$4&lt;=$E54),"■","")</x:f>
        <x:v>■</x:v>
      </x:c>
      <x:c r="Q54" s="74" t="str">
        <x:f>IF(AND(Q$4&gt;=$D54,Q$4&lt;=$E54),"■","")</x:f>
        <x:v>■</x:v>
      </x:c>
      <x:c r="R54" s="74" t="str">
        <x:f>IF(AND(R$4&gt;=$D54,R$4&lt;=$E54),"■","")</x:f>
        <x:v>■</x:v>
      </x:c>
      <x:c r="S54" s="74" t="str">
        <x:f>IF(AND(S$4&gt;=$D54,S$4&lt;=$E54),"■","")</x:f>
        <x:v>■</x:v>
      </x:c>
      <x:c r="T54" s="74" t="str">
        <x:f>IF(AND(T$4&gt;=$D54,T$4&lt;=$E54),"■","")</x:f>
      </x:c>
      <x:c r="U54" s="74" t="str">
        <x:f>IF(AND(U$4&gt;=$D54,U$4&lt;=$E54),"■","")</x:f>
      </x:c>
      <x:c r="V54" s="74" t="str">
        <x:f>IF(AND(V$4&gt;=$D54,V$4&lt;=$E54),"■","")</x:f>
      </x:c>
      <x:c r="W54" s="74" t="str">
        <x:f>IF(AND(W$4&gt;=$D54,W$4&lt;=$E54),"■","")</x:f>
      </x:c>
      <x:c r="X54" s="74" t="str">
        <x:f>IF(AND(X$4&gt;=$D54,X$4&lt;=$E54),"■","")</x:f>
      </x:c>
      <x:c r="Y54" s="82" t="str">
        <x:f>IF(AND(Y$4&gt;=$D54,Y$4&lt;=$E54),"■","")</x:f>
      </x:c>
    </x:row>
    <x:row r="55">
      <x:c r="A55" s="81" t="str">
        <x:v>1.10.1–1.10.3</x:v>
      </x:c>
      <x:c r="B55" s="66" t="str">
        <x:v>Unidad 3/4</x:v>
      </x:c>
      <x:c r="C55" s="64" t="str">
        <x:v>Unit + Integration + API tests</x:v>
      </x:c>
      <x:c r="D55" s="66" t="n">
        <x:v>9</x:v>
      </x:c>
      <x:c r="E55" s="66" t="n">
        <x:v>13</x:v>
      </x:c>
      <x:c r="F55" s="64" t="str">
        <x:v>desarrollo progresivo</x:v>
      </x:c>
      <x:c r="G55" s="64" t="str">
        <x:v>Suite automatizada</x:v>
      </x:c>
      <x:c r="H55" s="74" t="str">
        <x:f>IF(AND(H$4&gt;=$D55,H$4&lt;=$E55),"■","")</x:f>
      </x:c>
      <x:c r="I55" s="74" t="str">
        <x:f>IF(AND(I$4&gt;=$D55,I$4&lt;=$E55),"■","")</x:f>
      </x:c>
      <x:c r="J55" s="74" t="str">
        <x:f>IF(AND(J$4&gt;=$D55,J$4&lt;=$E55),"■","")</x:f>
      </x:c>
      <x:c r="K55" s="74" t="str">
        <x:f>IF(AND(K$4&gt;=$D55,K$4&lt;=$E55),"■","")</x:f>
      </x:c>
      <x:c r="L55" s="74" t="str">
        <x:f>IF(AND(L$4&gt;=$D55,L$4&lt;=$E55),"■","")</x:f>
      </x:c>
      <x:c r="M55" s="74" t="str">
        <x:f>IF(AND(M$4&gt;=$D55,M$4&lt;=$E55),"■","")</x:f>
      </x:c>
      <x:c r="N55" s="74" t="str">
        <x:f>IF(AND(N$4&gt;=$D55,N$4&lt;=$E55),"■","")</x:f>
      </x:c>
      <x:c r="O55" s="74" t="str">
        <x:f>IF(AND(O$4&gt;=$D55,O$4&lt;=$E55),"■","")</x:f>
      </x:c>
      <x:c r="P55" s="74" t="str">
        <x:f>IF(AND(P$4&gt;=$D55,P$4&lt;=$E55),"■","")</x:f>
        <x:v>■</x:v>
      </x:c>
      <x:c r="Q55" s="74" t="str">
        <x:f>IF(AND(Q$4&gt;=$D55,Q$4&lt;=$E55),"■","")</x:f>
        <x:v>■</x:v>
      </x:c>
      <x:c r="R55" s="74" t="str">
        <x:f>IF(AND(R$4&gt;=$D55,R$4&lt;=$E55),"■","")</x:f>
        <x:v>■</x:v>
      </x:c>
      <x:c r="S55" s="74" t="str">
        <x:f>IF(AND(S$4&gt;=$D55,S$4&lt;=$E55),"■","")</x:f>
        <x:v>■</x:v>
      </x:c>
      <x:c r="T55" s="74" t="str">
        <x:f>IF(AND(T$4&gt;=$D55,T$4&lt;=$E55),"■","")</x:f>
        <x:v>■</x:v>
      </x:c>
      <x:c r="U55" s="74" t="str">
        <x:f>IF(AND(U$4&gt;=$D55,U$4&lt;=$E55),"■","")</x:f>
      </x:c>
      <x:c r="V55" s="74" t="str">
        <x:f>IF(AND(V$4&gt;=$D55,V$4&lt;=$E55),"■","")</x:f>
      </x:c>
      <x:c r="W55" s="74" t="str">
        <x:f>IF(AND(W$4&gt;=$D55,W$4&lt;=$E55),"■","")</x:f>
      </x:c>
      <x:c r="X55" s="74" t="str">
        <x:f>IF(AND(X$4&gt;=$D55,X$4&lt;=$E55),"■","")</x:f>
      </x:c>
      <x:c r="Y55" s="82" t="str">
        <x:f>IF(AND(Y$4&gt;=$D55,Y$4&lt;=$E55),"■","")</x:f>
      </x:c>
    </x:row>
    <x:row r="56">
      <x:c r="A56" s="81" t="str">
        <x:v>1.10.4</x:v>
      </x:c>
      <x:c r="B56" s="66" t="str">
        <x:v>Unidad 3/4</x:v>
      </x:c>
      <x:c r="C56" s="64" t="str">
        <x:v>Concurrency tests</x:v>
      </x:c>
      <x:c r="D56" s="66" t="n">
        <x:v>11</x:v>
      </x:c>
      <x:c r="E56" s="66" t="n">
        <x:v>13</x:v>
      </x:c>
      <x:c r="F56" s="64" t="str">
        <x:v>1.7.5, 1.7.7</x:v>
      </x:c>
      <x:c r="G56" s="64" t="str">
        <x:v>Double booking / slot offers</x:v>
      </x:c>
      <x:c r="H56" s="74" t="str">
        <x:f>IF(AND(H$4&gt;=$D56,H$4&lt;=$E56),"■","")</x:f>
      </x:c>
      <x:c r="I56" s="74" t="str">
        <x:f>IF(AND(I$4&gt;=$D56,I$4&lt;=$E56),"■","")</x:f>
      </x:c>
      <x:c r="J56" s="74" t="str">
        <x:f>IF(AND(J$4&gt;=$D56,J$4&lt;=$E56),"■","")</x:f>
      </x:c>
      <x:c r="K56" s="74" t="str">
        <x:f>IF(AND(K$4&gt;=$D56,K$4&lt;=$E56),"■","")</x:f>
      </x:c>
      <x:c r="L56" s="74" t="str">
        <x:f>IF(AND(L$4&gt;=$D56,L$4&lt;=$E56),"■","")</x:f>
      </x:c>
      <x:c r="M56" s="74" t="str">
        <x:f>IF(AND(M$4&gt;=$D56,M$4&lt;=$E56),"■","")</x:f>
      </x:c>
      <x:c r="N56" s="74" t="str">
        <x:f>IF(AND(N$4&gt;=$D56,N$4&lt;=$E56),"■","")</x:f>
      </x:c>
      <x:c r="O56" s="74" t="str">
        <x:f>IF(AND(O$4&gt;=$D56,O$4&lt;=$E56),"■","")</x:f>
      </x:c>
      <x:c r="P56" s="74" t="str">
        <x:f>IF(AND(P$4&gt;=$D56,P$4&lt;=$E56),"■","")</x:f>
      </x:c>
      <x:c r="Q56" s="74" t="str">
        <x:f>IF(AND(Q$4&gt;=$D56,Q$4&lt;=$E56),"■","")</x:f>
      </x:c>
      <x:c r="R56" s="74" t="str">
        <x:f>IF(AND(R$4&gt;=$D56,R$4&lt;=$E56),"■","")</x:f>
        <x:v>■</x:v>
      </x:c>
      <x:c r="S56" s="74" t="str">
        <x:f>IF(AND(S$4&gt;=$D56,S$4&lt;=$E56),"■","")</x:f>
        <x:v>■</x:v>
      </x:c>
      <x:c r="T56" s="74" t="str">
        <x:f>IF(AND(T$4&gt;=$D56,T$4&lt;=$E56),"■","")</x:f>
        <x:v>■</x:v>
      </x:c>
      <x:c r="U56" s="74" t="str">
        <x:f>IF(AND(U$4&gt;=$D56,U$4&lt;=$E56),"■","")</x:f>
      </x:c>
      <x:c r="V56" s="74" t="str">
        <x:f>IF(AND(V$4&gt;=$D56,V$4&lt;=$E56),"■","")</x:f>
      </x:c>
      <x:c r="W56" s="74" t="str">
        <x:f>IF(AND(W$4&gt;=$D56,W$4&lt;=$E56),"■","")</x:f>
      </x:c>
      <x:c r="X56" s="74" t="str">
        <x:f>IF(AND(X$4&gt;=$D56,X$4&lt;=$E56),"■","")</x:f>
      </x:c>
      <x:c r="Y56" s="82" t="str">
        <x:f>IF(AND(Y$4&gt;=$D56,Y$4&lt;=$E56),"■","")</x:f>
      </x:c>
    </x:row>
    <x:row r="57">
      <x:c r="A57" s="81" t="str">
        <x:v>1.10.5</x:v>
      </x:c>
      <x:c r="B57" s="66" t="str">
        <x:v>Unidad 4</x:v>
      </x:c>
      <x:c r="C57" s="64" t="str">
        <x:v>Security tests</x:v>
      </x:c>
      <x:c r="D57" s="66" t="n">
        <x:v>12</x:v>
      </x:c>
      <x:c r="E57" s="66" t="n">
        <x:v>14</x:v>
      </x:c>
      <x:c r="F57" s="64" t="str">
        <x:v>módulos críticos</x:v>
      </x:c>
      <x:c r="G57" s="64" t="str">
        <x:v>Evidencia de seguridad</x:v>
      </x:c>
      <x:c r="H57" s="74" t="str">
        <x:f>IF(AND(H$4&gt;=$D57,H$4&lt;=$E57),"■","")</x:f>
      </x:c>
      <x:c r="I57" s="74" t="str">
        <x:f>IF(AND(I$4&gt;=$D57,I$4&lt;=$E57),"■","")</x:f>
      </x:c>
      <x:c r="J57" s="74" t="str">
        <x:f>IF(AND(J$4&gt;=$D57,J$4&lt;=$E57),"■","")</x:f>
      </x:c>
      <x:c r="K57" s="74" t="str">
        <x:f>IF(AND(K$4&gt;=$D57,K$4&lt;=$E57),"■","")</x:f>
      </x:c>
      <x:c r="L57" s="74" t="str">
        <x:f>IF(AND(L$4&gt;=$D57,L$4&lt;=$E57),"■","")</x:f>
      </x:c>
      <x:c r="M57" s="74" t="str">
        <x:f>IF(AND(M$4&gt;=$D57,M$4&lt;=$E57),"■","")</x:f>
      </x:c>
      <x:c r="N57" s="74" t="str">
        <x:f>IF(AND(N$4&gt;=$D57,N$4&lt;=$E57),"■","")</x:f>
      </x:c>
      <x:c r="O57" s="74" t="str">
        <x:f>IF(AND(O$4&gt;=$D57,O$4&lt;=$E57),"■","")</x:f>
      </x:c>
      <x:c r="P57" s="74" t="str">
        <x:f>IF(AND(P$4&gt;=$D57,P$4&lt;=$E57),"■","")</x:f>
      </x:c>
      <x:c r="Q57" s="74" t="str">
        <x:f>IF(AND(Q$4&gt;=$D57,Q$4&lt;=$E57),"■","")</x:f>
      </x:c>
      <x:c r="R57" s="74" t="str">
        <x:f>IF(AND(R$4&gt;=$D57,R$4&lt;=$E57),"■","")</x:f>
      </x:c>
      <x:c r="S57" s="74" t="str">
        <x:f>IF(AND(S$4&gt;=$D57,S$4&lt;=$E57),"■","")</x:f>
        <x:v>■</x:v>
      </x:c>
      <x:c r="T57" s="74" t="str">
        <x:f>IF(AND(T$4&gt;=$D57,T$4&lt;=$E57),"■","")</x:f>
        <x:v>■</x:v>
      </x:c>
      <x:c r="U57" s="74" t="str">
        <x:f>IF(AND(U$4&gt;=$D57,U$4&lt;=$E57),"■","")</x:f>
        <x:v>■</x:v>
      </x:c>
      <x:c r="V57" s="74" t="str">
        <x:f>IF(AND(V$4&gt;=$D57,V$4&lt;=$E57),"■","")</x:f>
      </x:c>
      <x:c r="W57" s="74" t="str">
        <x:f>IF(AND(W$4&gt;=$D57,W$4&lt;=$E57),"■","")</x:f>
      </x:c>
      <x:c r="X57" s="74" t="str">
        <x:f>IF(AND(X$4&gt;=$D57,X$4&lt;=$E57),"■","")</x:f>
      </x:c>
      <x:c r="Y57" s="82" t="str">
        <x:f>IF(AND(Y$4&gt;=$D57,Y$4&lt;=$E57),"■","")</x:f>
      </x:c>
    </x:row>
    <x:row r="58">
      <x:c r="A58" s="81" t="str">
        <x:v>1.10.6</x:v>
      </x:c>
      <x:c r="B58" s="66" t="str">
        <x:v>Unidad 4</x:v>
      </x:c>
      <x:c r="C58" s="64" t="str">
        <x:v>Web E2E</x:v>
      </x:c>
      <x:c r="D58" s="66" t="n">
        <x:v>12</x:v>
      </x:c>
      <x:c r="E58" s="66" t="n">
        <x:v>14</x:v>
      </x:c>
      <x:c r="F58" s="64" t="str">
        <x:v>1.8</x:v>
      </x:c>
      <x:c r="G58" s="64" t="str">
        <x:v>Flujos web</x:v>
      </x:c>
      <x:c r="H58" s="74" t="str">
        <x:f>IF(AND(H$4&gt;=$D58,H$4&lt;=$E58),"■","")</x:f>
      </x:c>
      <x:c r="I58" s="74" t="str">
        <x:f>IF(AND(I$4&gt;=$D58,I$4&lt;=$E58),"■","")</x:f>
      </x:c>
      <x:c r="J58" s="74" t="str">
        <x:f>IF(AND(J$4&gt;=$D58,J$4&lt;=$E58),"■","")</x:f>
      </x:c>
      <x:c r="K58" s="74" t="str">
        <x:f>IF(AND(K$4&gt;=$D58,K$4&lt;=$E58),"■","")</x:f>
      </x:c>
      <x:c r="L58" s="74" t="str">
        <x:f>IF(AND(L$4&gt;=$D58,L$4&lt;=$E58),"■","")</x:f>
      </x:c>
      <x:c r="M58" s="74" t="str">
        <x:f>IF(AND(M$4&gt;=$D58,M$4&lt;=$E58),"■","")</x:f>
      </x:c>
      <x:c r="N58" s="74" t="str">
        <x:f>IF(AND(N$4&gt;=$D58,N$4&lt;=$E58),"■","")</x:f>
      </x:c>
      <x:c r="O58" s="74" t="str">
        <x:f>IF(AND(O$4&gt;=$D58,O$4&lt;=$E58),"■","")</x:f>
      </x:c>
      <x:c r="P58" s="74" t="str">
        <x:f>IF(AND(P$4&gt;=$D58,P$4&lt;=$E58),"■","")</x:f>
      </x:c>
      <x:c r="Q58" s="74" t="str">
        <x:f>IF(AND(Q$4&gt;=$D58,Q$4&lt;=$E58),"■","")</x:f>
      </x:c>
      <x:c r="R58" s="74" t="str">
        <x:f>IF(AND(R$4&gt;=$D58,R$4&lt;=$E58),"■","")</x:f>
      </x:c>
      <x:c r="S58" s="74" t="str">
        <x:f>IF(AND(S$4&gt;=$D58,S$4&lt;=$E58),"■","")</x:f>
        <x:v>■</x:v>
      </x:c>
      <x:c r="T58" s="74" t="str">
        <x:f>IF(AND(T$4&gt;=$D58,T$4&lt;=$E58),"■","")</x:f>
        <x:v>■</x:v>
      </x:c>
      <x:c r="U58" s="74" t="str">
        <x:f>IF(AND(U$4&gt;=$D58,U$4&lt;=$E58),"■","")</x:f>
        <x:v>■</x:v>
      </x:c>
      <x:c r="V58" s="74" t="str">
        <x:f>IF(AND(V$4&gt;=$D58,V$4&lt;=$E58),"■","")</x:f>
      </x:c>
      <x:c r="W58" s="74" t="str">
        <x:f>IF(AND(W$4&gt;=$D58,W$4&lt;=$E58),"■","")</x:f>
      </x:c>
      <x:c r="X58" s="74" t="str">
        <x:f>IF(AND(X$4&gt;=$D58,X$4&lt;=$E58),"■","")</x:f>
      </x:c>
      <x:c r="Y58" s="82" t="str">
        <x:f>IF(AND(Y$4&gt;=$D58,Y$4&lt;=$E58),"■","")</x:f>
      </x:c>
    </x:row>
    <x:row r="59">
      <x:c r="A59" s="81" t="str">
        <x:v>1.10.7</x:v>
      </x:c>
      <x:c r="B59" s="66" t="str">
        <x:v>Unidad 4</x:v>
      </x:c>
      <x:c r="C59" s="64" t="str">
        <x:v>Mobile tests</x:v>
      </x:c>
      <x:c r="D59" s="66" t="n">
        <x:v>12</x:v>
      </x:c>
      <x:c r="E59" s="66" t="n">
        <x:v>14</x:v>
      </x:c>
      <x:c r="F59" s="64" t="str">
        <x:v>1.9</x:v>
      </x:c>
      <x:c r="G59" s="64" t="str">
        <x:v>Flujos mobile</x:v>
      </x:c>
      <x:c r="H59" s="74" t="str">
        <x:f>IF(AND(H$4&gt;=$D59,H$4&lt;=$E59),"■","")</x:f>
      </x:c>
      <x:c r="I59" s="74" t="str">
        <x:f>IF(AND(I$4&gt;=$D59,I$4&lt;=$E59),"■","")</x:f>
      </x:c>
      <x:c r="J59" s="74" t="str">
        <x:f>IF(AND(J$4&gt;=$D59,J$4&lt;=$E59),"■","")</x:f>
      </x:c>
      <x:c r="K59" s="74" t="str">
        <x:f>IF(AND(K$4&gt;=$D59,K$4&lt;=$E59),"■","")</x:f>
      </x:c>
      <x:c r="L59" s="74" t="str">
        <x:f>IF(AND(L$4&gt;=$D59,L$4&lt;=$E59),"■","")</x:f>
      </x:c>
      <x:c r="M59" s="74" t="str">
        <x:f>IF(AND(M$4&gt;=$D59,M$4&lt;=$E59),"■","")</x:f>
      </x:c>
      <x:c r="N59" s="74" t="str">
        <x:f>IF(AND(N$4&gt;=$D59,N$4&lt;=$E59),"■","")</x:f>
      </x:c>
      <x:c r="O59" s="74" t="str">
        <x:f>IF(AND(O$4&gt;=$D59,O$4&lt;=$E59),"■","")</x:f>
      </x:c>
      <x:c r="P59" s="74" t="str">
        <x:f>IF(AND(P$4&gt;=$D59,P$4&lt;=$E59),"■","")</x:f>
      </x:c>
      <x:c r="Q59" s="74" t="str">
        <x:f>IF(AND(Q$4&gt;=$D59,Q$4&lt;=$E59),"■","")</x:f>
      </x:c>
      <x:c r="R59" s="74" t="str">
        <x:f>IF(AND(R$4&gt;=$D59,R$4&lt;=$E59),"■","")</x:f>
      </x:c>
      <x:c r="S59" s="74" t="str">
        <x:f>IF(AND(S$4&gt;=$D59,S$4&lt;=$E59),"■","")</x:f>
        <x:v>■</x:v>
      </x:c>
      <x:c r="T59" s="74" t="str">
        <x:f>IF(AND(T$4&gt;=$D59,T$4&lt;=$E59),"■","")</x:f>
        <x:v>■</x:v>
      </x:c>
      <x:c r="U59" s="74" t="str">
        <x:f>IF(AND(U$4&gt;=$D59,U$4&lt;=$E59),"■","")</x:f>
        <x:v>■</x:v>
      </x:c>
      <x:c r="V59" s="74" t="str">
        <x:f>IF(AND(V$4&gt;=$D59,V$4&lt;=$E59),"■","")</x:f>
      </x:c>
      <x:c r="W59" s="74" t="str">
        <x:f>IF(AND(W$4&gt;=$D59,W$4&lt;=$E59),"■","")</x:f>
      </x:c>
      <x:c r="X59" s="74" t="str">
        <x:f>IF(AND(X$4&gt;=$D59,X$4&lt;=$E59),"■","")</x:f>
      </x:c>
      <x:c r="Y59" s="82" t="str">
        <x:f>IF(AND(Y$4&gt;=$D59,Y$4&lt;=$E59),"■","")</x:f>
      </x:c>
    </x:row>
    <x:row r="60">
      <x:c r="A60" s="81" t="str">
        <x:v>1.10.8</x:v>
      </x:c>
      <x:c r="B60" s="66" t="str">
        <x:v>Unidad 4</x:v>
      </x:c>
      <x:c r="C60" s="64" t="str">
        <x:v>Performance</x:v>
      </x:c>
      <x:c r="D60" s="66" t="n">
        <x:v>14</x:v>
      </x:c>
      <x:c r="E60" s="66" t="n">
        <x:v>15</x:v>
      </x:c>
      <x:c r="F60" s="64" t="str">
        <x:v>MVP integrado</x:v>
      </x:c>
      <x:c r="G60" s="64" t="str">
        <x:v>Línea base de rendimiento</x:v>
      </x:c>
      <x:c r="H60" s="74" t="str">
        <x:f>IF(AND(H$4&gt;=$D60,H$4&lt;=$E60),"■","")</x:f>
      </x:c>
      <x:c r="I60" s="74" t="str">
        <x:f>IF(AND(I$4&gt;=$D60,I$4&lt;=$E60),"■","")</x:f>
      </x:c>
      <x:c r="J60" s="74" t="str">
        <x:f>IF(AND(J$4&gt;=$D60,J$4&lt;=$E60),"■","")</x:f>
      </x:c>
      <x:c r="K60" s="74" t="str">
        <x:f>IF(AND(K$4&gt;=$D60,K$4&lt;=$E60),"■","")</x:f>
      </x:c>
      <x:c r="L60" s="74" t="str">
        <x:f>IF(AND(L$4&gt;=$D60,L$4&lt;=$E60),"■","")</x:f>
      </x:c>
      <x:c r="M60" s="74" t="str">
        <x:f>IF(AND(M$4&gt;=$D60,M$4&lt;=$E60),"■","")</x:f>
      </x:c>
      <x:c r="N60" s="74" t="str">
        <x:f>IF(AND(N$4&gt;=$D60,N$4&lt;=$E60),"■","")</x:f>
      </x:c>
      <x:c r="O60" s="74" t="str">
        <x:f>IF(AND(O$4&gt;=$D60,O$4&lt;=$E60),"■","")</x:f>
      </x:c>
      <x:c r="P60" s="74" t="str">
        <x:f>IF(AND(P$4&gt;=$D60,P$4&lt;=$E60),"■","")</x:f>
      </x:c>
      <x:c r="Q60" s="74" t="str">
        <x:f>IF(AND(Q$4&gt;=$D60,Q$4&lt;=$E60),"■","")</x:f>
      </x:c>
      <x:c r="R60" s="74" t="str">
        <x:f>IF(AND(R$4&gt;=$D60,R$4&lt;=$E60),"■","")</x:f>
      </x:c>
      <x:c r="S60" s="74" t="str">
        <x:f>IF(AND(S$4&gt;=$D60,S$4&lt;=$E60),"■","")</x:f>
      </x:c>
      <x:c r="T60" s="74" t="str">
        <x:f>IF(AND(T$4&gt;=$D60,T$4&lt;=$E60),"■","")</x:f>
      </x:c>
      <x:c r="U60" s="74" t="str">
        <x:f>IF(AND(U$4&gt;=$D60,U$4&lt;=$E60),"■","")</x:f>
        <x:v>■</x:v>
      </x:c>
      <x:c r="V60" s="74" t="str">
        <x:f>IF(AND(V$4&gt;=$D60,V$4&lt;=$E60),"■","")</x:f>
        <x:v>■</x:v>
      </x:c>
      <x:c r="W60" s="74" t="str">
        <x:f>IF(AND(W$4&gt;=$D60,W$4&lt;=$E60),"■","")</x:f>
      </x:c>
      <x:c r="X60" s="74" t="str">
        <x:f>IF(AND(X$4&gt;=$D60,X$4&lt;=$E60),"■","")</x:f>
      </x:c>
      <x:c r="Y60" s="82" t="str">
        <x:f>IF(AND(Y$4&gt;=$D60,Y$4&lt;=$E60),"■","")</x:f>
      </x:c>
    </x:row>
    <x:row r="61">
      <x:c r="A61" s="81" t="str">
        <x:v>1.10.9</x:v>
      </x:c>
      <x:c r="B61" s="66" t="str">
        <x:v>Unidad 4</x:v>
      </x:c>
      <x:c r="C61" s="64" t="str">
        <x:v>Usabilidad y accesibilidad</x:v>
      </x:c>
      <x:c r="D61" s="66" t="n">
        <x:v>13</x:v>
      </x:c>
      <x:c r="E61" s="66" t="n">
        <x:v>15</x:v>
      </x:c>
      <x:c r="F61" s="64" t="str">
        <x:v>web/mobile integrados</x:v>
      </x:c>
      <x:c r="G61" s="64" t="str">
        <x:v>Evidencia UX/a11y</x:v>
      </x:c>
      <x:c r="H61" s="74" t="str">
        <x:f>IF(AND(H$4&gt;=$D61,H$4&lt;=$E61),"■","")</x:f>
      </x:c>
      <x:c r="I61" s="74" t="str">
        <x:f>IF(AND(I$4&gt;=$D61,I$4&lt;=$E61),"■","")</x:f>
      </x:c>
      <x:c r="J61" s="74" t="str">
        <x:f>IF(AND(J$4&gt;=$D61,J$4&lt;=$E61),"■","")</x:f>
      </x:c>
      <x:c r="K61" s="74" t="str">
        <x:f>IF(AND(K$4&gt;=$D61,K$4&lt;=$E61),"■","")</x:f>
      </x:c>
      <x:c r="L61" s="74" t="str">
        <x:f>IF(AND(L$4&gt;=$D61,L$4&lt;=$E61),"■","")</x:f>
      </x:c>
      <x:c r="M61" s="74" t="str">
        <x:f>IF(AND(M$4&gt;=$D61,M$4&lt;=$E61),"■","")</x:f>
      </x:c>
      <x:c r="N61" s="74" t="str">
        <x:f>IF(AND(N$4&gt;=$D61,N$4&lt;=$E61),"■","")</x:f>
      </x:c>
      <x:c r="O61" s="74" t="str">
        <x:f>IF(AND(O$4&gt;=$D61,O$4&lt;=$E61),"■","")</x:f>
      </x:c>
      <x:c r="P61" s="74" t="str">
        <x:f>IF(AND(P$4&gt;=$D61,P$4&lt;=$E61),"■","")</x:f>
      </x:c>
      <x:c r="Q61" s="74" t="str">
        <x:f>IF(AND(Q$4&gt;=$D61,Q$4&lt;=$E61),"■","")</x:f>
      </x:c>
      <x:c r="R61" s="74" t="str">
        <x:f>IF(AND(R$4&gt;=$D61,R$4&lt;=$E61),"■","")</x:f>
      </x:c>
      <x:c r="S61" s="74" t="str">
        <x:f>IF(AND(S$4&gt;=$D61,S$4&lt;=$E61),"■","")</x:f>
      </x:c>
      <x:c r="T61" s="74" t="str">
        <x:f>IF(AND(T$4&gt;=$D61,T$4&lt;=$E61),"■","")</x:f>
        <x:v>■</x:v>
      </x:c>
      <x:c r="U61" s="74" t="str">
        <x:f>IF(AND(U$4&gt;=$D61,U$4&lt;=$E61),"■","")</x:f>
        <x:v>■</x:v>
      </x:c>
      <x:c r="V61" s="74" t="str">
        <x:f>IF(AND(V$4&gt;=$D61,V$4&lt;=$E61),"■","")</x:f>
        <x:v>■</x:v>
      </x:c>
      <x:c r="W61" s="74" t="str">
        <x:f>IF(AND(W$4&gt;=$D61,W$4&lt;=$E61),"■","")</x:f>
      </x:c>
      <x:c r="X61" s="74" t="str">
        <x:f>IF(AND(X$4&gt;=$D61,X$4&lt;=$E61),"■","")</x:f>
      </x:c>
      <x:c r="Y61" s="82" t="str">
        <x:f>IF(AND(Y$4&gt;=$D61,Y$4&lt;=$E61),"■","")</x:f>
      </x:c>
    </x:row>
    <x:row r="62">
      <x:c r="A62" s="81" t="str">
        <x:v>1.11.1</x:v>
      </x:c>
      <x:c r="B62" s="66" t="str">
        <x:v>Unidad 4</x:v>
      </x:c>
      <x:c r="C62" s="64" t="str">
        <x:v>Staging</x:v>
      </x:c>
      <x:c r="D62" s="66" t="n">
        <x:v>14</x:v>
      </x:c>
      <x:c r="E62" s="66" t="n">
        <x:v>15</x:v>
      </x:c>
      <x:c r="F62" s="64" t="str">
        <x:v>build estable</x:v>
      </x:c>
      <x:c r="G62" s="64" t="str">
        <x:v>Entorno académico</x:v>
      </x:c>
      <x:c r="H62" s="74" t="str">
        <x:f>IF(AND(H$4&gt;=$D62,H$4&lt;=$E62),"■","")</x:f>
      </x:c>
      <x:c r="I62" s="74" t="str">
        <x:f>IF(AND(I$4&gt;=$D62,I$4&lt;=$E62),"■","")</x:f>
      </x:c>
      <x:c r="J62" s="74" t="str">
        <x:f>IF(AND(J$4&gt;=$D62,J$4&lt;=$E62),"■","")</x:f>
      </x:c>
      <x:c r="K62" s="74" t="str">
        <x:f>IF(AND(K$4&gt;=$D62,K$4&lt;=$E62),"■","")</x:f>
      </x:c>
      <x:c r="L62" s="74" t="str">
        <x:f>IF(AND(L$4&gt;=$D62,L$4&lt;=$E62),"■","")</x:f>
      </x:c>
      <x:c r="M62" s="74" t="str">
        <x:f>IF(AND(M$4&gt;=$D62,M$4&lt;=$E62),"■","")</x:f>
      </x:c>
      <x:c r="N62" s="74" t="str">
        <x:f>IF(AND(N$4&gt;=$D62,N$4&lt;=$E62),"■","")</x:f>
      </x:c>
      <x:c r="O62" s="74" t="str">
        <x:f>IF(AND(O$4&gt;=$D62,O$4&lt;=$E62),"■","")</x:f>
      </x:c>
      <x:c r="P62" s="74" t="str">
        <x:f>IF(AND(P$4&gt;=$D62,P$4&lt;=$E62),"■","")</x:f>
      </x:c>
      <x:c r="Q62" s="74" t="str">
        <x:f>IF(AND(Q$4&gt;=$D62,Q$4&lt;=$E62),"■","")</x:f>
      </x:c>
      <x:c r="R62" s="74" t="str">
        <x:f>IF(AND(R$4&gt;=$D62,R$4&lt;=$E62),"■","")</x:f>
      </x:c>
      <x:c r="S62" s="74" t="str">
        <x:f>IF(AND(S$4&gt;=$D62,S$4&lt;=$E62),"■","")</x:f>
      </x:c>
      <x:c r="T62" s="74" t="str">
        <x:f>IF(AND(T$4&gt;=$D62,T$4&lt;=$E62),"■","")</x:f>
      </x:c>
      <x:c r="U62" s="74" t="str">
        <x:f>IF(AND(U$4&gt;=$D62,U$4&lt;=$E62),"■","")</x:f>
        <x:v>■</x:v>
      </x:c>
      <x:c r="V62" s="74" t="str">
        <x:f>IF(AND(V$4&gt;=$D62,V$4&lt;=$E62),"■","")</x:f>
        <x:v>■</x:v>
      </x:c>
      <x:c r="W62" s="74" t="str">
        <x:f>IF(AND(W$4&gt;=$D62,W$4&lt;=$E62),"■","")</x:f>
      </x:c>
      <x:c r="X62" s="74" t="str">
        <x:f>IF(AND(X$4&gt;=$D62,X$4&lt;=$E62),"■","")</x:f>
      </x:c>
      <x:c r="Y62" s="82" t="str">
        <x:f>IF(AND(Y$4&gt;=$D62,Y$4&lt;=$E62),"■","")</x:f>
      </x:c>
    </x:row>
    <x:row r="63">
      <x:c r="A63" s="81" t="str">
        <x:v>1.11.2</x:v>
      </x:c>
      <x:c r="B63" s="66" t="str">
        <x:v>Unidad 4</x:v>
      </x:c>
      <x:c r="C63" s="64" t="str">
        <x:v>CI/CD completo</x:v>
      </x:c>
      <x:c r="D63" s="66" t="n">
        <x:v>13</x:v>
      </x:c>
      <x:c r="E63" s="66" t="n">
        <x:v>15</x:v>
      </x:c>
      <x:c r="F63" s="64" t="str">
        <x:v>1.6.5</x:v>
      </x:c>
      <x:c r="G63" s="64" t="str">
        <x:v>Pipeline final</x:v>
      </x:c>
      <x:c r="H63" s="74" t="str">
        <x:f>IF(AND(H$4&gt;=$D63,H$4&lt;=$E63),"■","")</x:f>
      </x:c>
      <x:c r="I63" s="74" t="str">
        <x:f>IF(AND(I$4&gt;=$D63,I$4&lt;=$E63),"■","")</x:f>
      </x:c>
      <x:c r="J63" s="74" t="str">
        <x:f>IF(AND(J$4&gt;=$D63,J$4&lt;=$E63),"■","")</x:f>
      </x:c>
      <x:c r="K63" s="74" t="str">
        <x:f>IF(AND(K$4&gt;=$D63,K$4&lt;=$E63),"■","")</x:f>
      </x:c>
      <x:c r="L63" s="74" t="str">
        <x:f>IF(AND(L$4&gt;=$D63,L$4&lt;=$E63),"■","")</x:f>
      </x:c>
      <x:c r="M63" s="74" t="str">
        <x:f>IF(AND(M$4&gt;=$D63,M$4&lt;=$E63),"■","")</x:f>
      </x:c>
      <x:c r="N63" s="74" t="str">
        <x:f>IF(AND(N$4&gt;=$D63,N$4&lt;=$E63),"■","")</x:f>
      </x:c>
      <x:c r="O63" s="74" t="str">
        <x:f>IF(AND(O$4&gt;=$D63,O$4&lt;=$E63),"■","")</x:f>
      </x:c>
      <x:c r="P63" s="74" t="str">
        <x:f>IF(AND(P$4&gt;=$D63,P$4&lt;=$E63),"■","")</x:f>
      </x:c>
      <x:c r="Q63" s="74" t="str">
        <x:f>IF(AND(Q$4&gt;=$D63,Q$4&lt;=$E63),"■","")</x:f>
      </x:c>
      <x:c r="R63" s="74" t="str">
        <x:f>IF(AND(R$4&gt;=$D63,R$4&lt;=$E63),"■","")</x:f>
      </x:c>
      <x:c r="S63" s="74" t="str">
        <x:f>IF(AND(S$4&gt;=$D63,S$4&lt;=$E63),"■","")</x:f>
      </x:c>
      <x:c r="T63" s="74" t="str">
        <x:f>IF(AND(T$4&gt;=$D63,T$4&lt;=$E63),"■","")</x:f>
        <x:v>■</x:v>
      </x:c>
      <x:c r="U63" s="74" t="str">
        <x:f>IF(AND(U$4&gt;=$D63,U$4&lt;=$E63),"■","")</x:f>
        <x:v>■</x:v>
      </x:c>
      <x:c r="V63" s="74" t="str">
        <x:f>IF(AND(V$4&gt;=$D63,V$4&lt;=$E63),"■","")</x:f>
        <x:v>■</x:v>
      </x:c>
      <x:c r="W63" s="74" t="str">
        <x:f>IF(AND(W$4&gt;=$D63,W$4&lt;=$E63),"■","")</x:f>
      </x:c>
      <x:c r="X63" s="74" t="str">
        <x:f>IF(AND(X$4&gt;=$D63,X$4&lt;=$E63),"■","")</x:f>
      </x:c>
      <x:c r="Y63" s="82" t="str">
        <x:f>IF(AND(Y$4&gt;=$D63,Y$4&lt;=$E63),"■","")</x:f>
      </x:c>
    </x:row>
    <x:row r="64">
      <x:c r="A64" s="81" t="str">
        <x:v>1.11.3</x:v>
      </x:c>
      <x:c r="B64" s="66" t="str">
        <x:v>Unidad 4</x:v>
      </x:c>
      <x:c r="C64" s="64" t="str">
        <x:v>Observabilidad</x:v>
      </x:c>
      <x:c r="D64" s="66" t="n">
        <x:v>14</x:v>
      </x:c>
      <x:c r="E64" s="66" t="n">
        <x:v>16</x:v>
      </x:c>
      <x:c r="F64" s="64" t="str">
        <x:v>staging</x:v>
      </x:c>
      <x:c r="G64" s="64" t="str">
        <x:v>Logs/métricas/health</x:v>
      </x:c>
      <x:c r="H64" s="74" t="str">
        <x:f>IF(AND(H$4&gt;=$D64,H$4&lt;=$E64),"■","")</x:f>
      </x:c>
      <x:c r="I64" s="74" t="str">
        <x:f>IF(AND(I$4&gt;=$D64,I$4&lt;=$E64),"■","")</x:f>
      </x:c>
      <x:c r="J64" s="74" t="str">
        <x:f>IF(AND(J$4&gt;=$D64,J$4&lt;=$E64),"■","")</x:f>
      </x:c>
      <x:c r="K64" s="74" t="str">
        <x:f>IF(AND(K$4&gt;=$D64,K$4&lt;=$E64),"■","")</x:f>
      </x:c>
      <x:c r="L64" s="74" t="str">
        <x:f>IF(AND(L$4&gt;=$D64,L$4&lt;=$E64),"■","")</x:f>
      </x:c>
      <x:c r="M64" s="74" t="str">
        <x:f>IF(AND(M$4&gt;=$D64,M$4&lt;=$E64),"■","")</x:f>
      </x:c>
      <x:c r="N64" s="74" t="str">
        <x:f>IF(AND(N$4&gt;=$D64,N$4&lt;=$E64),"■","")</x:f>
      </x:c>
      <x:c r="O64" s="74" t="str">
        <x:f>IF(AND(O$4&gt;=$D64,O$4&lt;=$E64),"■","")</x:f>
      </x:c>
      <x:c r="P64" s="74" t="str">
        <x:f>IF(AND(P$4&gt;=$D64,P$4&lt;=$E64),"■","")</x:f>
      </x:c>
      <x:c r="Q64" s="74" t="str">
        <x:f>IF(AND(Q$4&gt;=$D64,Q$4&lt;=$E64),"■","")</x:f>
      </x:c>
      <x:c r="R64" s="74" t="str">
        <x:f>IF(AND(R$4&gt;=$D64,R$4&lt;=$E64),"■","")</x:f>
      </x:c>
      <x:c r="S64" s="74" t="str">
        <x:f>IF(AND(S$4&gt;=$D64,S$4&lt;=$E64),"■","")</x:f>
      </x:c>
      <x:c r="T64" s="74" t="str">
        <x:f>IF(AND(T$4&gt;=$D64,T$4&lt;=$E64),"■","")</x:f>
      </x:c>
      <x:c r="U64" s="74" t="str">
        <x:f>IF(AND(U$4&gt;=$D64,U$4&lt;=$E64),"■","")</x:f>
        <x:v>■</x:v>
      </x:c>
      <x:c r="V64" s="74" t="str">
        <x:f>IF(AND(V$4&gt;=$D64,V$4&lt;=$E64),"■","")</x:f>
        <x:v>■</x:v>
      </x:c>
      <x:c r="W64" s="74" t="str">
        <x:f>IF(AND(W$4&gt;=$D64,W$4&lt;=$E64),"■","")</x:f>
        <x:v>■</x:v>
      </x:c>
      <x:c r="X64" s="74" t="str">
        <x:f>IF(AND(X$4&gt;=$D64,X$4&lt;=$E64),"■","")</x:f>
      </x:c>
      <x:c r="Y64" s="82" t="str">
        <x:f>IF(AND(Y$4&gt;=$D64,Y$4&lt;=$E64),"■","")</x:f>
      </x:c>
    </x:row>
    <x:row r="65">
      <x:c r="A65" s="81" t="str">
        <x:v>1.11.4</x:v>
      </x:c>
      <x:c r="B65" s="66" t="str">
        <x:v>Unidad 4</x:v>
      </x:c>
      <x:c r="C65" s="64" t="str">
        <x:v>Hardening deployment</x:v>
      </x:c>
      <x:c r="D65" s="66" t="n">
        <x:v>15</x:v>
      </x:c>
      <x:c r="E65" s="66" t="n">
        <x:v>16</x:v>
      </x:c>
      <x:c r="F65" s="64" t="str">
        <x:v>staging</x:v>
      </x:c>
      <x:c r="G65" s="64" t="str">
        <x:v>HTTPS/secrets/backups</x:v>
      </x:c>
      <x:c r="H65" s="74" t="str">
        <x:f>IF(AND(H$4&gt;=$D65,H$4&lt;=$E65),"■","")</x:f>
      </x:c>
      <x:c r="I65" s="74" t="str">
        <x:f>IF(AND(I$4&gt;=$D65,I$4&lt;=$E65),"■","")</x:f>
      </x:c>
      <x:c r="J65" s="74" t="str">
        <x:f>IF(AND(J$4&gt;=$D65,J$4&lt;=$E65),"■","")</x:f>
      </x:c>
      <x:c r="K65" s="74" t="str">
        <x:f>IF(AND(K$4&gt;=$D65,K$4&lt;=$E65),"■","")</x:f>
      </x:c>
      <x:c r="L65" s="74" t="str">
        <x:f>IF(AND(L$4&gt;=$D65,L$4&lt;=$E65),"■","")</x:f>
      </x:c>
      <x:c r="M65" s="74" t="str">
        <x:f>IF(AND(M$4&gt;=$D65,M$4&lt;=$E65),"■","")</x:f>
      </x:c>
      <x:c r="N65" s="74" t="str">
        <x:f>IF(AND(N$4&gt;=$D65,N$4&lt;=$E65),"■","")</x:f>
      </x:c>
      <x:c r="O65" s="74" t="str">
        <x:f>IF(AND(O$4&gt;=$D65,O$4&lt;=$E65),"■","")</x:f>
      </x:c>
      <x:c r="P65" s="74" t="str">
        <x:f>IF(AND(P$4&gt;=$D65,P$4&lt;=$E65),"■","")</x:f>
      </x:c>
      <x:c r="Q65" s="74" t="str">
        <x:f>IF(AND(Q$4&gt;=$D65,Q$4&lt;=$E65),"■","")</x:f>
      </x:c>
      <x:c r="R65" s="74" t="str">
        <x:f>IF(AND(R$4&gt;=$D65,R$4&lt;=$E65),"■","")</x:f>
      </x:c>
      <x:c r="S65" s="74" t="str">
        <x:f>IF(AND(S$4&gt;=$D65,S$4&lt;=$E65),"■","")</x:f>
      </x:c>
      <x:c r="T65" s="74" t="str">
        <x:f>IF(AND(T$4&gt;=$D65,T$4&lt;=$E65),"■","")</x:f>
      </x:c>
      <x:c r="U65" s="74" t="str">
        <x:f>IF(AND(U$4&gt;=$D65,U$4&lt;=$E65),"■","")</x:f>
      </x:c>
      <x:c r="V65" s="74" t="str">
        <x:f>IF(AND(V$4&gt;=$D65,V$4&lt;=$E65),"■","")</x:f>
        <x:v>■</x:v>
      </x:c>
      <x:c r="W65" s="74" t="str">
        <x:f>IF(AND(W$4&gt;=$D65,W$4&lt;=$E65),"■","")</x:f>
        <x:v>■</x:v>
      </x:c>
      <x:c r="X65" s="74" t="str">
        <x:f>IF(AND(X$4&gt;=$D65,X$4&lt;=$E65),"■","")</x:f>
      </x:c>
      <x:c r="Y65" s="82" t="str">
        <x:f>IF(AND(Y$4&gt;=$D65,Y$4&lt;=$E65),"■","")</x:f>
      </x:c>
    </x:row>
    <x:row r="66">
      <x:c r="A66" s="81" t="str">
        <x:v>1.12</x:v>
      </x:c>
      <x:c r="B66" s="66" t="str">
        <x:v>Transversal</x:v>
      </x:c>
      <x:c r="C66" s="64" t="str">
        <x:v>Documentación y evidencias</x:v>
      </x:c>
      <x:c r="D66" s="66" t="n">
        <x:v>1</x:v>
      </x:c>
      <x:c r="E66" s="66" t="n">
        <x:v>18</x:v>
      </x:c>
      <x:c r="F66" s="64" t="str">
        <x:v>transversal</x:v>
      </x:c>
      <x:c r="G66" s="64" t="str">
        <x:v>Docs y evidencias</x:v>
      </x:c>
      <x:c r="H66" s="74" t="str">
        <x:f>IF(AND(H$4&gt;=$D66,H$4&lt;=$E66),"■","")</x:f>
        <x:v>■</x:v>
      </x:c>
      <x:c r="I66" s="74" t="str">
        <x:f>IF(AND(I$4&gt;=$D66,I$4&lt;=$E66),"■","")</x:f>
        <x:v>■</x:v>
      </x:c>
      <x:c r="J66" s="74" t="str">
        <x:f>IF(AND(J$4&gt;=$D66,J$4&lt;=$E66),"■","")</x:f>
        <x:v>■</x:v>
      </x:c>
      <x:c r="K66" s="74" t="str">
        <x:f>IF(AND(K$4&gt;=$D66,K$4&lt;=$E66),"■","")</x:f>
        <x:v>■</x:v>
      </x:c>
      <x:c r="L66" s="74" t="str">
        <x:f>IF(AND(L$4&gt;=$D66,L$4&lt;=$E66),"■","")</x:f>
        <x:v>■</x:v>
      </x:c>
      <x:c r="M66" s="74" t="str">
        <x:f>IF(AND(M$4&gt;=$D66,M$4&lt;=$E66),"■","")</x:f>
        <x:v>■</x:v>
      </x:c>
      <x:c r="N66" s="74" t="str">
        <x:f>IF(AND(N$4&gt;=$D66,N$4&lt;=$E66),"■","")</x:f>
        <x:v>■</x:v>
      </x:c>
      <x:c r="O66" s="74" t="str">
        <x:f>IF(AND(O$4&gt;=$D66,O$4&lt;=$E66),"■","")</x:f>
        <x:v>■</x:v>
      </x:c>
      <x:c r="P66" s="74" t="str">
        <x:f>IF(AND(P$4&gt;=$D66,P$4&lt;=$E66),"■","")</x:f>
        <x:v>■</x:v>
      </x:c>
      <x:c r="Q66" s="74" t="str">
        <x:f>IF(AND(Q$4&gt;=$D66,Q$4&lt;=$E66),"■","")</x:f>
        <x:v>■</x:v>
      </x:c>
      <x:c r="R66" s="74" t="str">
        <x:f>IF(AND(R$4&gt;=$D66,R$4&lt;=$E66),"■","")</x:f>
        <x:v>■</x:v>
      </x:c>
      <x:c r="S66" s="74" t="str">
        <x:f>IF(AND(S$4&gt;=$D66,S$4&lt;=$E66),"■","")</x:f>
        <x:v>■</x:v>
      </x:c>
      <x:c r="T66" s="74" t="str">
        <x:f>IF(AND(T$4&gt;=$D66,T$4&lt;=$E66),"■","")</x:f>
        <x:v>■</x:v>
      </x:c>
      <x:c r="U66" s="74" t="str">
        <x:f>IF(AND(U$4&gt;=$D66,U$4&lt;=$E66),"■","")</x:f>
        <x:v>■</x:v>
      </x:c>
      <x:c r="V66" s="74" t="str">
        <x:f>IF(AND(V$4&gt;=$D66,V$4&lt;=$E66),"■","")</x:f>
        <x:v>■</x:v>
      </x:c>
      <x:c r="W66" s="74" t="str">
        <x:f>IF(AND(W$4&gt;=$D66,W$4&lt;=$E66),"■","")</x:f>
        <x:v>■</x:v>
      </x:c>
      <x:c r="X66" s="74" t="str">
        <x:f>IF(AND(X$4&gt;=$D66,X$4&lt;=$E66),"■","")</x:f>
        <x:v>■</x:v>
      </x:c>
      <x:c r="Y66" s="82" t="str">
        <x:f>IF(AND(Y$4&gt;=$D66,Y$4&lt;=$E66),"■","")</x:f>
        <x:v>■</x:v>
      </x:c>
    </x:row>
    <x:row r="67">
      <x:c r="A67" s="81" t="str">
        <x:v>1.13.1</x:v>
      </x:c>
      <x:c r="B67" s="66" t="str">
        <x:v>Unidad 4</x:v>
      </x:c>
      <x:c r="C67" s="64" t="str">
        <x:v>Validación final</x:v>
      </x:c>
      <x:c r="D67" s="66" t="n">
        <x:v>16</x:v>
      </x:c>
      <x:c r="E67" s="66" t="n">
        <x:v>17</x:v>
      </x:c>
      <x:c r="F67" s="64" t="str">
        <x:v>MVP + pruebas</x:v>
      </x:c>
      <x:c r="G67" s="64" t="str">
        <x:v>Revisión de alcance</x:v>
      </x:c>
      <x:c r="H67" s="74" t="str">
        <x:f>IF(AND(H$4&gt;=$D67,H$4&lt;=$E67),"■","")</x:f>
      </x:c>
      <x:c r="I67" s="74" t="str">
        <x:f>IF(AND(I$4&gt;=$D67,I$4&lt;=$E67),"■","")</x:f>
      </x:c>
      <x:c r="J67" s="74" t="str">
        <x:f>IF(AND(J$4&gt;=$D67,J$4&lt;=$E67),"■","")</x:f>
      </x:c>
      <x:c r="K67" s="74" t="str">
        <x:f>IF(AND(K$4&gt;=$D67,K$4&lt;=$E67),"■","")</x:f>
      </x:c>
      <x:c r="L67" s="74" t="str">
        <x:f>IF(AND(L$4&gt;=$D67,L$4&lt;=$E67),"■","")</x:f>
      </x:c>
      <x:c r="M67" s="74" t="str">
        <x:f>IF(AND(M$4&gt;=$D67,M$4&lt;=$E67),"■","")</x:f>
      </x:c>
      <x:c r="N67" s="74" t="str">
        <x:f>IF(AND(N$4&gt;=$D67,N$4&lt;=$E67),"■","")</x:f>
      </x:c>
      <x:c r="O67" s="74" t="str">
        <x:f>IF(AND(O$4&gt;=$D67,O$4&lt;=$E67),"■","")</x:f>
      </x:c>
      <x:c r="P67" s="74" t="str">
        <x:f>IF(AND(P$4&gt;=$D67,P$4&lt;=$E67),"■","")</x:f>
      </x:c>
      <x:c r="Q67" s="74" t="str">
        <x:f>IF(AND(Q$4&gt;=$D67,Q$4&lt;=$E67),"■","")</x:f>
      </x:c>
      <x:c r="R67" s="74" t="str">
        <x:f>IF(AND(R$4&gt;=$D67,R$4&lt;=$E67),"■","")</x:f>
      </x:c>
      <x:c r="S67" s="74" t="str">
        <x:f>IF(AND(S$4&gt;=$D67,S$4&lt;=$E67),"■","")</x:f>
      </x:c>
      <x:c r="T67" s="74" t="str">
        <x:f>IF(AND(T$4&gt;=$D67,T$4&lt;=$E67),"■","")</x:f>
      </x:c>
      <x:c r="U67" s="74" t="str">
        <x:f>IF(AND(U$4&gt;=$D67,U$4&lt;=$E67),"■","")</x:f>
      </x:c>
      <x:c r="V67" s="74" t="str">
        <x:f>IF(AND(V$4&gt;=$D67,V$4&lt;=$E67),"■","")</x:f>
      </x:c>
      <x:c r="W67" s="74" t="str">
        <x:f>IF(AND(W$4&gt;=$D67,W$4&lt;=$E67),"■","")</x:f>
        <x:v>■</x:v>
      </x:c>
      <x:c r="X67" s="74" t="str">
        <x:f>IF(AND(X$4&gt;=$D67,X$4&lt;=$E67),"■","")</x:f>
        <x:v>■</x:v>
      </x:c>
      <x:c r="Y67" s="82" t="str">
        <x:f>IF(AND(Y$4&gt;=$D67,Y$4&lt;=$E67),"■","")</x:f>
      </x:c>
    </x:row>
    <x:row r="68">
      <x:c r="A68" s="81" t="str">
        <x:v>1.13.2</x:v>
      </x:c>
      <x:c r="B68" s="66" t="str">
        <x:v>Unidad 4</x:v>
      </x:c>
      <x:c r="C68" s="64" t="str">
        <x:v>Entrega 100 %</x:v>
      </x:c>
      <x:c r="D68" s="66" t="n">
        <x:v>17</x:v>
      </x:c>
      <x:c r="E68" s="66" t="n">
        <x:v>18</x:v>
      </x:c>
      <x:c r="F68" s="64" t="str">
        <x:v>1.13.1</x:v>
      </x:c>
      <x:c r="G68" s="64" t="str">
        <x:v>Versión final</x:v>
      </x:c>
      <x:c r="H68" s="74" t="str">
        <x:f>IF(AND(H$4&gt;=$D68,H$4&lt;=$E68),"■","")</x:f>
      </x:c>
      <x:c r="I68" s="74" t="str">
        <x:f>IF(AND(I$4&gt;=$D68,I$4&lt;=$E68),"■","")</x:f>
      </x:c>
      <x:c r="J68" s="74" t="str">
        <x:f>IF(AND(J$4&gt;=$D68,J$4&lt;=$E68),"■","")</x:f>
      </x:c>
      <x:c r="K68" s="74" t="str">
        <x:f>IF(AND(K$4&gt;=$D68,K$4&lt;=$E68),"■","")</x:f>
      </x:c>
      <x:c r="L68" s="74" t="str">
        <x:f>IF(AND(L$4&gt;=$D68,L$4&lt;=$E68),"■","")</x:f>
      </x:c>
      <x:c r="M68" s="74" t="str">
        <x:f>IF(AND(M$4&gt;=$D68,M$4&lt;=$E68),"■","")</x:f>
      </x:c>
      <x:c r="N68" s="74" t="str">
        <x:f>IF(AND(N$4&gt;=$D68,N$4&lt;=$E68),"■","")</x:f>
      </x:c>
      <x:c r="O68" s="74" t="str">
        <x:f>IF(AND(O$4&gt;=$D68,O$4&lt;=$E68),"■","")</x:f>
      </x:c>
      <x:c r="P68" s="74" t="str">
        <x:f>IF(AND(P$4&gt;=$D68,P$4&lt;=$E68),"■","")</x:f>
      </x:c>
      <x:c r="Q68" s="74" t="str">
        <x:f>IF(AND(Q$4&gt;=$D68,Q$4&lt;=$E68),"■","")</x:f>
      </x:c>
      <x:c r="R68" s="74" t="str">
        <x:f>IF(AND(R$4&gt;=$D68,R$4&lt;=$E68),"■","")</x:f>
      </x:c>
      <x:c r="S68" s="74" t="str">
        <x:f>IF(AND(S$4&gt;=$D68,S$4&lt;=$E68),"■","")</x:f>
      </x:c>
      <x:c r="T68" s="74" t="str">
        <x:f>IF(AND(T$4&gt;=$D68,T$4&lt;=$E68),"■","")</x:f>
      </x:c>
      <x:c r="U68" s="74" t="str">
        <x:f>IF(AND(U$4&gt;=$D68,U$4&lt;=$E68),"■","")</x:f>
      </x:c>
      <x:c r="V68" s="74" t="str">
        <x:f>IF(AND(V$4&gt;=$D68,V$4&lt;=$E68),"■","")</x:f>
      </x:c>
      <x:c r="W68" s="74" t="str">
        <x:f>IF(AND(W$4&gt;=$D68,W$4&lt;=$E68),"■","")</x:f>
      </x:c>
      <x:c r="X68" s="74" t="str">
        <x:f>IF(AND(X$4&gt;=$D68,X$4&lt;=$E68),"■","")</x:f>
        <x:v>■</x:v>
      </x:c>
      <x:c r="Y68" s="82" t="str">
        <x:f>IF(AND(Y$4&gt;=$D68,Y$4&lt;=$E68),"■","")</x:f>
        <x:v>■</x:v>
      </x:c>
    </x:row>
    <x:row r="69">
      <x:c r="A69" s="81" t="str">
        <x:v>1.13.3</x:v>
      </x:c>
      <x:c r="B69" s="66" t="str">
        <x:v>Unidad 4</x:v>
      </x:c>
      <x:c r="C69" s="64" t="str">
        <x:v>Plan de mantenimiento</x:v>
      </x:c>
      <x:c r="D69" s="66" t="n">
        <x:v>16</x:v>
      </x:c>
      <x:c r="E69" s="66" t="n">
        <x:v>17</x:v>
      </x:c>
      <x:c r="F69" s="64" t="str">
        <x:v>1.11</x:v>
      </x:c>
      <x:c r="G69" s="64" t="str">
        <x:v>Mantenimiento</x:v>
      </x:c>
      <x:c r="H69" s="74" t="str">
        <x:f>IF(AND(H$4&gt;=$D69,H$4&lt;=$E69),"■","")</x:f>
      </x:c>
      <x:c r="I69" s="74" t="str">
        <x:f>IF(AND(I$4&gt;=$D69,I$4&lt;=$E69),"■","")</x:f>
      </x:c>
      <x:c r="J69" s="74" t="str">
        <x:f>IF(AND(J$4&gt;=$D69,J$4&lt;=$E69),"■","")</x:f>
      </x:c>
      <x:c r="K69" s="74" t="str">
        <x:f>IF(AND(K$4&gt;=$D69,K$4&lt;=$E69),"■","")</x:f>
      </x:c>
      <x:c r="L69" s="74" t="str">
        <x:f>IF(AND(L$4&gt;=$D69,L$4&lt;=$E69),"■","")</x:f>
      </x:c>
      <x:c r="M69" s="74" t="str">
        <x:f>IF(AND(M$4&gt;=$D69,M$4&lt;=$E69),"■","")</x:f>
      </x:c>
      <x:c r="N69" s="74" t="str">
        <x:f>IF(AND(N$4&gt;=$D69,N$4&lt;=$E69),"■","")</x:f>
      </x:c>
      <x:c r="O69" s="74" t="str">
        <x:f>IF(AND(O$4&gt;=$D69,O$4&lt;=$E69),"■","")</x:f>
      </x:c>
      <x:c r="P69" s="74" t="str">
        <x:f>IF(AND(P$4&gt;=$D69,P$4&lt;=$E69),"■","")</x:f>
      </x:c>
      <x:c r="Q69" s="74" t="str">
        <x:f>IF(AND(Q$4&gt;=$D69,Q$4&lt;=$E69),"■","")</x:f>
      </x:c>
      <x:c r="R69" s="74" t="str">
        <x:f>IF(AND(R$4&gt;=$D69,R$4&lt;=$E69),"■","")</x:f>
      </x:c>
      <x:c r="S69" s="74" t="str">
        <x:f>IF(AND(S$4&gt;=$D69,S$4&lt;=$E69),"■","")</x:f>
      </x:c>
      <x:c r="T69" s="74" t="str">
        <x:f>IF(AND(T$4&gt;=$D69,T$4&lt;=$E69),"■","")</x:f>
      </x:c>
      <x:c r="U69" s="74" t="str">
        <x:f>IF(AND(U$4&gt;=$D69,U$4&lt;=$E69),"■","")</x:f>
      </x:c>
      <x:c r="V69" s="74" t="str">
        <x:f>IF(AND(V$4&gt;=$D69,V$4&lt;=$E69),"■","")</x:f>
      </x:c>
      <x:c r="W69" s="74" t="str">
        <x:f>IF(AND(W$4&gt;=$D69,W$4&lt;=$E69),"■","")</x:f>
        <x:v>■</x:v>
      </x:c>
      <x:c r="X69" s="74" t="str">
        <x:f>IF(AND(X$4&gt;=$D69,X$4&lt;=$E69),"■","")</x:f>
        <x:v>■</x:v>
      </x:c>
      <x:c r="Y69" s="82" t="str">
        <x:f>IF(AND(Y$4&gt;=$D69,Y$4&lt;=$E69),"■","")</x:f>
      </x:c>
    </x:row>
    <x:row r="70">
      <x:c r="A70" s="83" t="str">
        <x:v>1.13.4</x:v>
      </x:c>
      <x:c r="B70" s="84" t="str">
        <x:v>Unidad 4</x:v>
      </x:c>
      <x:c r="C70" s="85" t="str">
        <x:v>Lecciones aprendidas</x:v>
      </x:c>
      <x:c r="D70" s="84" t="n">
        <x:v>18</x:v>
      </x:c>
      <x:c r="E70" s="84" t="n">
        <x:v>18</x:v>
      </x:c>
      <x:c r="F70" s="85" t="str">
        <x:v>cierre</x:v>
      </x:c>
      <x:c r="G70" s="85" t="str">
        <x:v>Retrospectiva</x:v>
      </x:c>
      <x:c r="H70" s="86" t="str">
        <x:f>IF(AND(H$4&gt;=$D70,H$4&lt;=$E70),"■","")</x:f>
      </x:c>
      <x:c r="I70" s="86" t="str">
        <x:f>IF(AND(I$4&gt;=$D70,I$4&lt;=$E70),"■","")</x:f>
      </x:c>
      <x:c r="J70" s="86" t="str">
        <x:f>IF(AND(J$4&gt;=$D70,J$4&lt;=$E70),"■","")</x:f>
      </x:c>
      <x:c r="K70" s="86" t="str">
        <x:f>IF(AND(K$4&gt;=$D70,K$4&lt;=$E70),"■","")</x:f>
      </x:c>
      <x:c r="L70" s="86" t="str">
        <x:f>IF(AND(L$4&gt;=$D70,L$4&lt;=$E70),"■","")</x:f>
      </x:c>
      <x:c r="M70" s="86" t="str">
        <x:f>IF(AND(M$4&gt;=$D70,M$4&lt;=$E70),"■","")</x:f>
      </x:c>
      <x:c r="N70" s="86" t="str">
        <x:f>IF(AND(N$4&gt;=$D70,N$4&lt;=$E70),"■","")</x:f>
      </x:c>
      <x:c r="O70" s="86" t="str">
        <x:f>IF(AND(O$4&gt;=$D70,O$4&lt;=$E70),"■","")</x:f>
      </x:c>
      <x:c r="P70" s="86" t="str">
        <x:f>IF(AND(P$4&gt;=$D70,P$4&lt;=$E70),"■","")</x:f>
      </x:c>
      <x:c r="Q70" s="86" t="str">
        <x:f>IF(AND(Q$4&gt;=$D70,Q$4&lt;=$E70),"■","")</x:f>
      </x:c>
      <x:c r="R70" s="86" t="str">
        <x:f>IF(AND(R$4&gt;=$D70,R$4&lt;=$E70),"■","")</x:f>
      </x:c>
      <x:c r="S70" s="86" t="str">
        <x:f>IF(AND(S$4&gt;=$D70,S$4&lt;=$E70),"■","")</x:f>
      </x:c>
      <x:c r="T70" s="86" t="str">
        <x:f>IF(AND(T$4&gt;=$D70,T$4&lt;=$E70),"■","")</x:f>
      </x:c>
      <x:c r="U70" s="86" t="str">
        <x:f>IF(AND(U$4&gt;=$D70,U$4&lt;=$E70),"■","")</x:f>
      </x:c>
      <x:c r="V70" s="86" t="str">
        <x:f>IF(AND(V$4&gt;=$D70,V$4&lt;=$E70),"■","")</x:f>
      </x:c>
      <x:c r="W70" s="86" t="str">
        <x:f>IF(AND(W$4&gt;=$D70,W$4&lt;=$E70),"■","")</x:f>
      </x:c>
      <x:c r="X70" s="86" t="str">
        <x:f>IF(AND(X$4&gt;=$D70,X$4&lt;=$E70),"■","")</x:f>
      </x:c>
      <x:c r="Y70" s="87" t="str">
        <x:f>IF(AND(Y$4&gt;=$D70,Y$4&lt;=$E70),"■","")</x:f>
        <x:v>■</x:v>
      </x:c>
    </x:row>
    <x:row r="72">
      <x:c r="A72" s="101" t="str">
        <x:v>Leyenda del Gantt</x:v>
      </x:c>
      <x:c r="B72" s="101"/>
      <x:c r="C72" s="101"/>
      <x:c r="D72" s="101"/>
      <x:c r="E72" s="101"/>
      <x:c r="F72" s="101"/>
      <x:c r="G72" s="101"/>
    </x:row>
    <x:row r="73">
      <x:c r="A73" s="105" t="str">
        <x:v>Unidad 1</x:v>
      </x:c>
      <x:c r="B73" t="str">
        <x:v>Semanas 1–4</x:v>
      </x:c>
      <x:c r="C73" t="str">
        <x:v>Planificación y análisis</x:v>
      </x:c>
    </x:row>
    <x:row r="74">
      <x:c r="A74" s="109" t="str">
        <x:v>Unidad 2</x:v>
      </x:c>
      <x:c r="B74" t="str">
        <x:v>Semanas 5–8</x:v>
      </x:c>
      <x:c r="C74" t="str">
        <x:v>Diseño</x:v>
      </x:c>
    </x:row>
    <x:row r="75">
      <x:c r="A75" s="113" t="str">
        <x:v>Unidad 3</x:v>
      </x:c>
      <x:c r="B75" t="str">
        <x:v>Semanas 9–12</x:v>
      </x:c>
      <x:c r="C75" t="str">
        <x:v>Desarrollo</x:v>
      </x:c>
    </x:row>
    <x:row r="76">
      <x:c r="A76" s="117" t="str">
        <x:v>Unidad 4</x:v>
      </x:c>
      <x:c r="B76" t="str">
        <x:v>Semanas 13–18</x:v>
      </x:c>
      <x:c r="C76" t="str">
        <x:v>Pruebas, despliegue y cierre</x:v>
      </x:c>
    </x:row>
  </x:sheetData>
  <x:mergeCells>
    <x:mergeCell ref="A1:Y1"/>
    <x:mergeCell ref="A2:Y2"/>
    <x:mergeCell ref="A3:F3"/>
    <x:mergeCell ref="G3:L3"/>
    <x:mergeCell ref="M3:R3"/>
    <x:mergeCell ref="S3:Y3"/>
    <x:mergeCell ref="A72:G72"/>
  </x:mergeCells>
  <x:conditionalFormatting sqref="H6:K70">
    <x:cfRule type="expression" dxfId="0" priority="1">
      <x:formula>H6="■"</x:formula>
    </x:cfRule>
  </x:conditionalFormatting>
  <x:conditionalFormatting sqref="L6:O70">
    <x:cfRule type="expression" dxfId="1" priority="2">
      <x:formula>L6="■"</x:formula>
    </x:cfRule>
  </x:conditionalFormatting>
  <x:conditionalFormatting sqref="P6:S70">
    <x:cfRule type="expression" dxfId="2" priority="3">
      <x:formula>P6="■"</x:formula>
    </x:cfRule>
  </x:conditionalFormatting>
  <x:conditionalFormatting sqref="T6:Y70">
    <x:cfRule type="expression" dxfId="3" priority="4">
      <x:formula>T6="■"</x:formula>
    </x:cfRule>
  </x:conditionalFormatting>
  <x:conditionalFormatting sqref="B6:B70">
    <x:cfRule type="expression" dxfId="4" priority="5">
      <x:formula>B6="Unidad 1"</x:formula>
    </x:cfRule>
    <x:cfRule type="expression" dxfId="5" priority="6">
      <x:formula>B6="Unidad 2"</x:formula>
    </x:cfRule>
    <x:cfRule type="expression" dxfId="6" priority="7">
      <x:formula>B6="Unidad 3"</x:formula>
    </x:cfRule>
    <x:cfRule type="expression" dxfId="7" priority="8">
      <x:formula>B6="Unidad 4"</x:formula>
    </x:cfRule>
    <x:cfRule type="expression" dxfId="8" priority="9">
      <x:formula>B6="Unidad 2/3"</x:formula>
    </x:cfRule>
    <x:cfRule type="expression" dxfId="9" priority="10">
      <x:formula>B6="Unidad 3/4"</x:formula>
    </x:cfRule>
    <x:cfRule type="expression" dxfId="10" priority="11">
      <x:formula>B6="Transversal"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9" hidden="0" customWidth="1"/>
    <x:col min="4" max="4" width="48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0" max="10" width="4.5" hidden="0" customWidth="1"/>
    <x:col min="11" max="11" width="4.5" hidden="0" customWidth="1"/>
    <x:col min="12" max="12" width="4.5" hidden="0" customWidth="1"/>
    <x:col min="13" max="13" width="4.5" hidden="0" customWidth="1"/>
    <x:col min="14" max="14" width="4.5" hidden="0" customWidth="1"/>
    <x:col min="15" max="15" width="4.5" hidden="0" customWidth="1"/>
    <x:col min="16" max="16" width="4.5" hidden="0" customWidth="1"/>
    <x:col min="17" max="17" width="4.5" hidden="0" customWidth="1"/>
    <x:col min="18" max="18" width="4.5" hidden="0" customWidth="1"/>
    <x:col min="19" max="19" width="4.5" hidden="0" customWidth="1"/>
    <x:col min="20" max="20" width="4.5" hidden="0" customWidth="1"/>
    <x:col min="21" max="21" width="4.5" hidden="0" customWidth="1"/>
    <x:col min="22" max="22" width="4.5" hidden="0" customWidth="1"/>
    <x:col min="23" max="23" width="4.5" hidden="0" customWidth="1"/>
  </x:cols>
  <x:sheetData>
    <x:row r="1">
      <x:c r="A1" s="121" t="str">
        <x:v>Hitos del proyecto — 18 semanas</x:v>
      </x:c>
      <x:c r="B1" s="121"/>
      <x:c r="C1" s="121"/>
      <x:c r="D1" s="121"/>
      <x:c r="E1" s="121"/>
      <x:c r="F1" s="121"/>
      <x:c r="G1" s="121"/>
      <x:c r="H1" s="121"/>
      <x:c r="I1" s="121"/>
      <x:c r="J1" s="121"/>
      <x:c r="K1" s="121"/>
      <x:c r="L1" s="121"/>
      <x:c r="M1" s="121"/>
      <x:c r="N1" s="121"/>
      <x:c r="O1" s="121"/>
      <x:c r="P1" s="121"/>
      <x:c r="Q1" s="121"/>
      <x:c r="R1" s="121"/>
      <x:c r="S1" s="121"/>
      <x:c r="T1" s="121"/>
      <x:c r="U1" s="121"/>
      <x:c r="V1" s="121"/>
      <x:c r="W1" s="121"/>
    </x:row>
    <x:row r="2" ht="4" customHeight="1">
      <x:c r="F2" s="68" t="n">
        <x:v>1</x:v>
      </x:c>
      <x:c r="G2" s="68" t="n">
        <x:v>2</x:v>
      </x:c>
      <x:c r="H2" s="68" t="n">
        <x:v>3</x:v>
      </x:c>
      <x:c r="I2" s="68" t="n">
        <x:v>4</x:v>
      </x:c>
      <x:c r="J2" s="68" t="n">
        <x:v>5</x:v>
      </x:c>
      <x:c r="K2" s="68" t="n">
        <x:v>6</x:v>
      </x:c>
      <x:c r="L2" s="68" t="n">
        <x:v>7</x:v>
      </x:c>
      <x:c r="M2" s="68" t="n">
        <x:v>8</x:v>
      </x:c>
      <x:c r="N2" s="68" t="n">
        <x:v>9</x:v>
      </x:c>
      <x:c r="O2" s="68" t="n">
        <x:v>10</x:v>
      </x:c>
      <x:c r="P2" s="68" t="n">
        <x:v>11</x:v>
      </x:c>
      <x:c r="Q2" s="68" t="n">
        <x:v>12</x:v>
      </x:c>
      <x:c r="R2" s="68" t="n">
        <x:v>13</x:v>
      </x:c>
      <x:c r="S2" s="68" t="n">
        <x:v>14</x:v>
      </x:c>
      <x:c r="T2" s="68" t="n">
        <x:v>15</x:v>
      </x:c>
      <x:c r="U2" s="68" t="n">
        <x:v>16</x:v>
      </x:c>
      <x:c r="V2" s="68" t="n">
        <x:v>17</x:v>
      </x:c>
      <x:c r="W2" s="68" t="n">
        <x:v>18</x:v>
      </x:c>
    </x:row>
    <x:row r="3">
      <x:c r="A3" s="125" t="str">
        <x:v>Hito</x:v>
      </x:c>
      <x:c r="B3" s="125" t="str">
        <x:v>Nombre</x:v>
      </x:c>
      <x:c r="C3" s="125" t="str">
        <x:v>Semana</x:v>
      </x:c>
      <x:c r="D3" s="125" t="str">
        <x:v>Criterio</x:v>
      </x:c>
      <x:c r="F3" s="128" t="str">
        <x:v>S1</x:v>
      </x:c>
      <x:c r="G3" s="128" t="str">
        <x:v>S2</x:v>
      </x:c>
      <x:c r="H3" s="128" t="str">
        <x:v>S3</x:v>
      </x:c>
      <x:c r="I3" s="128" t="str">
        <x:v>S4</x:v>
      </x:c>
      <x:c r="J3" s="128" t="str">
        <x:v>S5</x:v>
      </x:c>
      <x:c r="K3" s="128" t="str">
        <x:v>S6</x:v>
      </x:c>
      <x:c r="L3" s="128" t="str">
        <x:v>S7</x:v>
      </x:c>
      <x:c r="M3" s="128" t="str">
        <x:v>S8</x:v>
      </x:c>
      <x:c r="N3" s="128" t="str">
        <x:v>S9</x:v>
      </x:c>
      <x:c r="O3" s="128" t="str">
        <x:v>S10</x:v>
      </x:c>
      <x:c r="P3" s="128" t="str">
        <x:v>S11</x:v>
      </x:c>
      <x:c r="Q3" s="128" t="str">
        <x:v>S12</x:v>
      </x:c>
      <x:c r="R3" s="128" t="str">
        <x:v>S13</x:v>
      </x:c>
      <x:c r="S3" s="128" t="str">
        <x:v>S14</x:v>
      </x:c>
      <x:c r="T3" s="128" t="str">
        <x:v>S15</x:v>
      </x:c>
      <x:c r="U3" s="128" t="str">
        <x:v>S16</x:v>
      </x:c>
      <x:c r="V3" s="128" t="str">
        <x:v>S17</x:v>
      </x:c>
      <x:c r="W3" s="128" t="str">
        <x:v>S18</x:v>
      </x:c>
    </x:row>
    <x:row r="4">
      <x:c r="A4" s="60" t="str">
        <x:v>M1</x:v>
      </x:c>
      <x:c r="B4" s="60" t="str">
        <x:v>Reorientación documental</x:v>
      </x:c>
      <x:c r="C4" s="60" t="n">
        <x:v>1</x:v>
      </x:c>
      <x:c r="D4" s="60" t="str">
        <x:v>Roadmap, investigación y fuentes coherentes con Huaycán</x:v>
      </x:c>
      <x:c r="F4" s="130" t="str">
        <x:f>IF(F$2=$C4,"◆","")</x:f>
        <x:v>◆</x:v>
      </x:c>
      <x:c r="G4" s="130" t="str">
        <x:f>IF(G$2=$C4,"◆","")</x:f>
      </x:c>
      <x:c r="H4" s="130" t="str">
        <x:f>IF(H$2=$C4,"◆","")</x:f>
      </x:c>
      <x:c r="I4" s="130" t="str">
        <x:f>IF(I$2=$C4,"◆","")</x:f>
      </x:c>
      <x:c r="J4" s="130" t="str">
        <x:f>IF(J$2=$C4,"◆","")</x:f>
      </x:c>
      <x:c r="K4" s="130" t="str">
        <x:f>IF(K$2=$C4,"◆","")</x:f>
      </x:c>
      <x:c r="L4" s="130" t="str">
        <x:f>IF(L$2=$C4,"◆","")</x:f>
      </x:c>
      <x:c r="M4" s="130" t="str">
        <x:f>IF(M$2=$C4,"◆","")</x:f>
      </x:c>
      <x:c r="N4" s="130" t="str">
        <x:f>IF(N$2=$C4,"◆","")</x:f>
      </x:c>
      <x:c r="O4" s="130" t="str">
        <x:f>IF(O$2=$C4,"◆","")</x:f>
      </x:c>
      <x:c r="P4" s="130" t="str">
        <x:f>IF(P$2=$C4,"◆","")</x:f>
      </x:c>
      <x:c r="Q4" s="130" t="str">
        <x:f>IF(Q$2=$C4,"◆","")</x:f>
      </x:c>
      <x:c r="R4" s="130" t="str">
        <x:f>IF(R$2=$C4,"◆","")</x:f>
      </x:c>
      <x:c r="S4" s="130" t="str">
        <x:f>IF(S$2=$C4,"◆","")</x:f>
      </x:c>
      <x:c r="T4" s="130" t="str">
        <x:f>IF(T$2=$C4,"◆","")</x:f>
      </x:c>
      <x:c r="U4" s="130" t="str">
        <x:f>IF(U$2=$C4,"◆","")</x:f>
      </x:c>
      <x:c r="V4" s="130" t="str">
        <x:f>IF(V$2=$C4,"◆","")</x:f>
      </x:c>
      <x:c r="W4" s="130" t="str">
        <x:f>IF(W$2=$C4,"◆","")</x:f>
      </x:c>
    </x:row>
    <x:row r="5">
      <x:c r="A5" s="60" t="str">
        <x:v>M2</x:v>
      </x:c>
      <x:c r="B5" s="60" t="str">
        <x:v>Planificación completa</x:v>
      </x:c>
      <x:c r="C5" s="60" t="n">
        <x:v>2</x:v>
      </x:c>
      <x:c r="D5" s="60" t="str">
        <x:v>Lean Canvas + Charter + WBS + Gantt</x:v>
      </x:c>
      <x:c r="F5" s="130" t="str">
        <x:f>IF(F$2=$C5,"◆","")</x:f>
      </x:c>
      <x:c r="G5" s="130" t="str">
        <x:f>IF(G$2=$C5,"◆","")</x:f>
        <x:v>◆</x:v>
      </x:c>
      <x:c r="H5" s="130" t="str">
        <x:f>IF(H$2=$C5,"◆","")</x:f>
      </x:c>
      <x:c r="I5" s="130" t="str">
        <x:f>IF(I$2=$C5,"◆","")</x:f>
      </x:c>
      <x:c r="J5" s="130" t="str">
        <x:f>IF(J$2=$C5,"◆","")</x:f>
      </x:c>
      <x:c r="K5" s="130" t="str">
        <x:f>IF(K$2=$C5,"◆","")</x:f>
      </x:c>
      <x:c r="L5" s="130" t="str">
        <x:f>IF(L$2=$C5,"◆","")</x:f>
      </x:c>
      <x:c r="M5" s="130" t="str">
        <x:f>IF(M$2=$C5,"◆","")</x:f>
      </x:c>
      <x:c r="N5" s="130" t="str">
        <x:f>IF(N$2=$C5,"◆","")</x:f>
      </x:c>
      <x:c r="O5" s="130" t="str">
        <x:f>IF(O$2=$C5,"◆","")</x:f>
      </x:c>
      <x:c r="P5" s="130" t="str">
        <x:f>IF(P$2=$C5,"◆","")</x:f>
      </x:c>
      <x:c r="Q5" s="130" t="str">
        <x:f>IF(Q$2=$C5,"◆","")</x:f>
      </x:c>
      <x:c r="R5" s="130" t="str">
        <x:f>IF(R$2=$C5,"◆","")</x:f>
      </x:c>
      <x:c r="S5" s="130" t="str">
        <x:f>IF(S$2=$C5,"◆","")</x:f>
      </x:c>
      <x:c r="T5" s="130" t="str">
        <x:f>IF(T$2=$C5,"◆","")</x:f>
      </x:c>
      <x:c r="U5" s="130" t="str">
        <x:f>IF(U$2=$C5,"◆","")</x:f>
      </x:c>
      <x:c r="V5" s="130" t="str">
        <x:f>IF(V$2=$C5,"◆","")</x:f>
      </x:c>
      <x:c r="W5" s="130" t="str">
        <x:f>IF(W$2=$C5,"◆","")</x:f>
      </x:c>
    </x:row>
    <x:row r="6">
      <x:c r="A6" s="60" t="str">
        <x:v>M3</x:v>
      </x:c>
      <x:c r="B6" s="60" t="str">
        <x:v>Discovery completado</x:v>
      </x:c>
      <x:c r="C6" s="60" t="n">
        <x:v>4</x:v>
      </x:c>
      <x:c r="D6" s="60" t="str">
        <x:v>Levantamiento y requisitos preliminares consolidados</x:v>
      </x:c>
      <x:c r="F6" s="130" t="str">
        <x:f>IF(F$2=$C6,"◆","")</x:f>
      </x:c>
      <x:c r="G6" s="130" t="str">
        <x:f>IF(G$2=$C6,"◆","")</x:f>
      </x:c>
      <x:c r="H6" s="130" t="str">
        <x:f>IF(H$2=$C6,"◆","")</x:f>
      </x:c>
      <x:c r="I6" s="130" t="str">
        <x:f>IF(I$2=$C6,"◆","")</x:f>
        <x:v>◆</x:v>
      </x:c>
      <x:c r="J6" s="130" t="str">
        <x:f>IF(J$2=$C6,"◆","")</x:f>
      </x:c>
      <x:c r="K6" s="130" t="str">
        <x:f>IF(K$2=$C6,"◆","")</x:f>
      </x:c>
      <x:c r="L6" s="130" t="str">
        <x:f>IF(L$2=$C6,"◆","")</x:f>
      </x:c>
      <x:c r="M6" s="130" t="str">
        <x:f>IF(M$2=$C6,"◆","")</x:f>
      </x:c>
      <x:c r="N6" s="130" t="str">
        <x:f>IF(N$2=$C6,"◆","")</x:f>
      </x:c>
      <x:c r="O6" s="130" t="str">
        <x:f>IF(O$2=$C6,"◆","")</x:f>
      </x:c>
      <x:c r="P6" s="130" t="str">
        <x:f>IF(P$2=$C6,"◆","")</x:f>
      </x:c>
      <x:c r="Q6" s="130" t="str">
        <x:f>IF(Q$2=$C6,"◆","")</x:f>
      </x:c>
      <x:c r="R6" s="130" t="str">
        <x:f>IF(R$2=$C6,"◆","")</x:f>
      </x:c>
      <x:c r="S6" s="130" t="str">
        <x:f>IF(S$2=$C6,"◆","")</x:f>
      </x:c>
      <x:c r="T6" s="130" t="str">
        <x:f>IF(T$2=$C6,"◆","")</x:f>
      </x:c>
      <x:c r="U6" s="130" t="str">
        <x:f>IF(U$2=$C6,"◆","")</x:f>
      </x:c>
      <x:c r="V6" s="130" t="str">
        <x:f>IF(V$2=$C6,"◆","")</x:f>
      </x:c>
      <x:c r="W6" s="130" t="str">
        <x:f>IF(W$2=$C6,"◆","")</x:f>
      </x:c>
    </x:row>
    <x:row r="7">
      <x:c r="A7" s="60" t="str">
        <x:v>M4</x:v>
      </x:c>
      <x:c r="B7" s="60" t="str">
        <x:v>PRD aprobado</x:v>
      </x:c>
      <x:c r="C7" s="60" t="n">
        <x:v>5</x:v>
      </x:c>
      <x:c r="D7" s="60" t="str">
        <x:v>Alcance y requerimientos aceptados</x:v>
      </x:c>
      <x:c r="F7" s="130" t="str">
        <x:f>IF(F$2=$C7,"◆","")</x:f>
      </x:c>
      <x:c r="G7" s="130" t="str">
        <x:f>IF(G$2=$C7,"◆","")</x:f>
      </x:c>
      <x:c r="H7" s="130" t="str">
        <x:f>IF(H$2=$C7,"◆","")</x:f>
      </x:c>
      <x:c r="I7" s="130" t="str">
        <x:f>IF(I$2=$C7,"◆","")</x:f>
      </x:c>
      <x:c r="J7" s="130" t="str">
        <x:f>IF(J$2=$C7,"◆","")</x:f>
        <x:v>◆</x:v>
      </x:c>
      <x:c r="K7" s="130" t="str">
        <x:f>IF(K$2=$C7,"◆","")</x:f>
      </x:c>
      <x:c r="L7" s="130" t="str">
        <x:f>IF(L$2=$C7,"◆","")</x:f>
      </x:c>
      <x:c r="M7" s="130" t="str">
        <x:f>IF(M$2=$C7,"◆","")</x:f>
      </x:c>
      <x:c r="N7" s="130" t="str">
        <x:f>IF(N$2=$C7,"◆","")</x:f>
      </x:c>
      <x:c r="O7" s="130" t="str">
        <x:f>IF(O$2=$C7,"◆","")</x:f>
      </x:c>
      <x:c r="P7" s="130" t="str">
        <x:f>IF(P$2=$C7,"◆","")</x:f>
      </x:c>
      <x:c r="Q7" s="130" t="str">
        <x:f>IF(Q$2=$C7,"◆","")</x:f>
      </x:c>
      <x:c r="R7" s="130" t="str">
        <x:f>IF(R$2=$C7,"◆","")</x:f>
      </x:c>
      <x:c r="S7" s="130" t="str">
        <x:f>IF(S$2=$C7,"◆","")</x:f>
      </x:c>
      <x:c r="T7" s="130" t="str">
        <x:f>IF(T$2=$C7,"◆","")</x:f>
      </x:c>
      <x:c r="U7" s="130" t="str">
        <x:f>IF(U$2=$C7,"◆","")</x:f>
      </x:c>
      <x:c r="V7" s="130" t="str">
        <x:f>IF(V$2=$C7,"◆","")</x:f>
      </x:c>
      <x:c r="W7" s="130" t="str">
        <x:f>IF(W$2=$C7,"◆","")</x:f>
      </x:c>
    </x:row>
    <x:row r="8">
      <x:c r="A8" s="60" t="str">
        <x:v>M5</x:v>
      </x:c>
      <x:c r="B8" s="60" t="str">
        <x:v>Diseño funcional aprobado</x:v>
      </x:c>
      <x:c r="C8" s="60" t="n">
        <x:v>6</x:v>
      </x:c>
      <x:c r="D8" s="60" t="str">
        <x:v>BPMN + App Flow</x:v>
      </x:c>
      <x:c r="F8" s="130" t="str">
        <x:f>IF(F$2=$C8,"◆","")</x:f>
      </x:c>
      <x:c r="G8" s="130" t="str">
        <x:f>IF(G$2=$C8,"◆","")</x:f>
      </x:c>
      <x:c r="H8" s="130" t="str">
        <x:f>IF(H$2=$C8,"◆","")</x:f>
      </x:c>
      <x:c r="I8" s="130" t="str">
        <x:f>IF(I$2=$C8,"◆","")</x:f>
      </x:c>
      <x:c r="J8" s="130" t="str">
        <x:f>IF(J$2=$C8,"◆","")</x:f>
      </x:c>
      <x:c r="K8" s="130" t="str">
        <x:f>IF(K$2=$C8,"◆","")</x:f>
        <x:v>◆</x:v>
      </x:c>
      <x:c r="L8" s="130" t="str">
        <x:f>IF(L$2=$C8,"◆","")</x:f>
      </x:c>
      <x:c r="M8" s="130" t="str">
        <x:f>IF(M$2=$C8,"◆","")</x:f>
      </x:c>
      <x:c r="N8" s="130" t="str">
        <x:f>IF(N$2=$C8,"◆","")</x:f>
      </x:c>
      <x:c r="O8" s="130" t="str">
        <x:f>IF(O$2=$C8,"◆","")</x:f>
      </x:c>
      <x:c r="P8" s="130" t="str">
        <x:f>IF(P$2=$C8,"◆","")</x:f>
      </x:c>
      <x:c r="Q8" s="130" t="str">
        <x:f>IF(Q$2=$C8,"◆","")</x:f>
      </x:c>
      <x:c r="R8" s="130" t="str">
        <x:f>IF(R$2=$C8,"◆","")</x:f>
      </x:c>
      <x:c r="S8" s="130" t="str">
        <x:f>IF(S$2=$C8,"◆","")</x:f>
      </x:c>
      <x:c r="T8" s="130" t="str">
        <x:f>IF(T$2=$C8,"◆","")</x:f>
      </x:c>
      <x:c r="U8" s="130" t="str">
        <x:f>IF(U$2=$C8,"◆","")</x:f>
      </x:c>
      <x:c r="V8" s="130" t="str">
        <x:f>IF(V$2=$C8,"◆","")</x:f>
      </x:c>
      <x:c r="W8" s="130" t="str">
        <x:f>IF(W$2=$C8,"◆","")</x:f>
      </x:c>
    </x:row>
    <x:row r="9">
      <x:c r="A9" s="60" t="str">
        <x:v>M6</x:v>
      </x:c>
      <x:c r="B9" s="60" t="str">
        <x:v>Diseño técnico aprobado</x:v>
      </x:c>
      <x:c r="C9" s="60" t="n">
        <x:v>8</x:v>
      </x:c>
      <x:c r="D9" s="60" t="str">
        <x:v>UI/UX + TRD + modelo + OpenAPI</x:v>
      </x:c>
      <x:c r="F9" s="130" t="str">
        <x:f>IF(F$2=$C9,"◆","")</x:f>
      </x:c>
      <x:c r="G9" s="130" t="str">
        <x:f>IF(G$2=$C9,"◆","")</x:f>
      </x:c>
      <x:c r="H9" s="130" t="str">
        <x:f>IF(H$2=$C9,"◆","")</x:f>
      </x:c>
      <x:c r="I9" s="130" t="str">
        <x:f>IF(I$2=$C9,"◆","")</x:f>
      </x:c>
      <x:c r="J9" s="130" t="str">
        <x:f>IF(J$2=$C9,"◆","")</x:f>
      </x:c>
      <x:c r="K9" s="130" t="str">
        <x:f>IF(K$2=$C9,"◆","")</x:f>
      </x:c>
      <x:c r="L9" s="130" t="str">
        <x:f>IF(L$2=$C9,"◆","")</x:f>
      </x:c>
      <x:c r="M9" s="130" t="str">
        <x:f>IF(M$2=$C9,"◆","")</x:f>
        <x:v>◆</x:v>
      </x:c>
      <x:c r="N9" s="130" t="str">
        <x:f>IF(N$2=$C9,"◆","")</x:f>
      </x:c>
      <x:c r="O9" s="130" t="str">
        <x:f>IF(O$2=$C9,"◆","")</x:f>
      </x:c>
      <x:c r="P9" s="130" t="str">
        <x:f>IF(P$2=$C9,"◆","")</x:f>
      </x:c>
      <x:c r="Q9" s="130" t="str">
        <x:f>IF(Q$2=$C9,"◆","")</x:f>
      </x:c>
      <x:c r="R9" s="130" t="str">
        <x:f>IF(R$2=$C9,"◆","")</x:f>
      </x:c>
      <x:c r="S9" s="130" t="str">
        <x:f>IF(S$2=$C9,"◆","")</x:f>
      </x:c>
      <x:c r="T9" s="130" t="str">
        <x:f>IF(T$2=$C9,"◆","")</x:f>
      </x:c>
      <x:c r="U9" s="130" t="str">
        <x:f>IF(U$2=$C9,"◆","")</x:f>
      </x:c>
      <x:c r="V9" s="130" t="str">
        <x:f>IF(V$2=$C9,"◆","")</x:f>
      </x:c>
      <x:c r="W9" s="130" t="str">
        <x:f>IF(W$2=$C9,"◆","")</x:f>
      </x:c>
    </x:row>
    <x:row r="10">
      <x:c r="A10" s="60" t="str">
        <x:v>M7</x:v>
      </x:c>
      <x:c r="B10" s="60" t="str">
        <x:v>Foundation lista</x:v>
      </x:c>
      <x:c r="C10" s="60" t="n">
        <x:v>9</x:v>
      </x:c>
      <x:c r="D10" s="60" t="str">
        <x:v>Backend/web/mobile + CI reproducibles</x:v>
      </x:c>
      <x:c r="F10" s="130" t="str">
        <x:f>IF(F$2=$C10,"◆","")</x:f>
      </x:c>
      <x:c r="G10" s="130" t="str">
        <x:f>IF(G$2=$C10,"◆","")</x:f>
      </x:c>
      <x:c r="H10" s="130" t="str">
        <x:f>IF(H$2=$C10,"◆","")</x:f>
      </x:c>
      <x:c r="I10" s="130" t="str">
        <x:f>IF(I$2=$C10,"◆","")</x:f>
      </x:c>
      <x:c r="J10" s="130" t="str">
        <x:f>IF(J$2=$C10,"◆","")</x:f>
      </x:c>
      <x:c r="K10" s="130" t="str">
        <x:f>IF(K$2=$C10,"◆","")</x:f>
      </x:c>
      <x:c r="L10" s="130" t="str">
        <x:f>IF(L$2=$C10,"◆","")</x:f>
      </x:c>
      <x:c r="M10" s="130" t="str">
        <x:f>IF(M$2=$C10,"◆","")</x:f>
      </x:c>
      <x:c r="N10" s="130" t="str">
        <x:f>IF(N$2=$C10,"◆","")</x:f>
        <x:v>◆</x:v>
      </x:c>
      <x:c r="O10" s="130" t="str">
        <x:f>IF(O$2=$C10,"◆","")</x:f>
      </x:c>
      <x:c r="P10" s="130" t="str">
        <x:f>IF(P$2=$C10,"◆","")</x:f>
      </x:c>
      <x:c r="Q10" s="130" t="str">
        <x:f>IF(Q$2=$C10,"◆","")</x:f>
      </x:c>
      <x:c r="R10" s="130" t="str">
        <x:f>IF(R$2=$C10,"◆","")</x:f>
      </x:c>
      <x:c r="S10" s="130" t="str">
        <x:f>IF(S$2=$C10,"◆","")</x:f>
      </x:c>
      <x:c r="T10" s="130" t="str">
        <x:f>IF(T$2=$C10,"◆","")</x:f>
      </x:c>
      <x:c r="U10" s="130" t="str">
        <x:f>IF(U$2=$C10,"◆","")</x:f>
      </x:c>
      <x:c r="V10" s="130" t="str">
        <x:f>IF(V$2=$C10,"◆","")</x:f>
      </x:c>
      <x:c r="W10" s="130" t="str">
        <x:f>IF(W$2=$C10,"◆","")</x:f>
      </x:c>
    </x:row>
    <x:row r="11">
      <x:c r="A11" s="60" t="str">
        <x:v>M8</x:v>
      </x:c>
      <x:c r="B11" s="60" t="str">
        <x:v>MVP integrado</x:v>
      </x:c>
      <x:c r="C11" s="60" t="n">
        <x:v>12</x:v>
      </x:c>
      <x:c r="D11" s="60" t="str">
        <x:v>Backend + web + mobile conectados</x:v>
      </x:c>
      <x:c r="F11" s="130" t="str">
        <x:f>IF(F$2=$C11,"◆","")</x:f>
      </x:c>
      <x:c r="G11" s="130" t="str">
        <x:f>IF(G$2=$C11,"◆","")</x:f>
      </x:c>
      <x:c r="H11" s="130" t="str">
        <x:f>IF(H$2=$C11,"◆","")</x:f>
      </x:c>
      <x:c r="I11" s="130" t="str">
        <x:f>IF(I$2=$C11,"◆","")</x:f>
      </x:c>
      <x:c r="J11" s="130" t="str">
        <x:f>IF(J$2=$C11,"◆","")</x:f>
      </x:c>
      <x:c r="K11" s="130" t="str">
        <x:f>IF(K$2=$C11,"◆","")</x:f>
      </x:c>
      <x:c r="L11" s="130" t="str">
        <x:f>IF(L$2=$C11,"◆","")</x:f>
      </x:c>
      <x:c r="M11" s="130" t="str">
        <x:f>IF(M$2=$C11,"◆","")</x:f>
      </x:c>
      <x:c r="N11" s="130" t="str">
        <x:f>IF(N$2=$C11,"◆","")</x:f>
      </x:c>
      <x:c r="O11" s="130" t="str">
        <x:f>IF(O$2=$C11,"◆","")</x:f>
      </x:c>
      <x:c r="P11" s="130" t="str">
        <x:f>IF(P$2=$C11,"◆","")</x:f>
      </x:c>
      <x:c r="Q11" s="130" t="str">
        <x:f>IF(Q$2=$C11,"◆","")</x:f>
        <x:v>◆</x:v>
      </x:c>
      <x:c r="R11" s="130" t="str">
        <x:f>IF(R$2=$C11,"◆","")</x:f>
      </x:c>
      <x:c r="S11" s="130" t="str">
        <x:f>IF(S$2=$C11,"◆","")</x:f>
      </x:c>
      <x:c r="T11" s="130" t="str">
        <x:f>IF(T$2=$C11,"◆","")</x:f>
      </x:c>
      <x:c r="U11" s="130" t="str">
        <x:f>IF(U$2=$C11,"◆","")</x:f>
      </x:c>
      <x:c r="V11" s="130" t="str">
        <x:f>IF(V$2=$C11,"◆","")</x:f>
      </x:c>
      <x:c r="W11" s="130" t="str">
        <x:f>IF(W$2=$C11,"◆","")</x:f>
      </x:c>
    </x:row>
    <x:row r="12">
      <x:c r="A12" s="60" t="str">
        <x:v>M9</x:v>
      </x:c>
      <x:c r="B12" s="60" t="str">
        <x:v>Hardening completado</x:v>
      </x:c>
      <x:c r="C12" s="60" t="n">
        <x:v>15</x:v>
      </x:c>
      <x:c r="D12" s="60" t="str">
        <x:v>Seguridad, performance y accesibilidad</x:v>
      </x:c>
      <x:c r="F12" s="130" t="str">
        <x:f>IF(F$2=$C12,"◆","")</x:f>
      </x:c>
      <x:c r="G12" s="130" t="str">
        <x:f>IF(G$2=$C12,"◆","")</x:f>
      </x:c>
      <x:c r="H12" s="130" t="str">
        <x:f>IF(H$2=$C12,"◆","")</x:f>
      </x:c>
      <x:c r="I12" s="130" t="str">
        <x:f>IF(I$2=$C12,"◆","")</x:f>
      </x:c>
      <x:c r="J12" s="130" t="str">
        <x:f>IF(J$2=$C12,"◆","")</x:f>
      </x:c>
      <x:c r="K12" s="130" t="str">
        <x:f>IF(K$2=$C12,"◆","")</x:f>
      </x:c>
      <x:c r="L12" s="130" t="str">
        <x:f>IF(L$2=$C12,"◆","")</x:f>
      </x:c>
      <x:c r="M12" s="130" t="str">
        <x:f>IF(M$2=$C12,"◆","")</x:f>
      </x:c>
      <x:c r="N12" s="130" t="str">
        <x:f>IF(N$2=$C12,"◆","")</x:f>
      </x:c>
      <x:c r="O12" s="130" t="str">
        <x:f>IF(O$2=$C12,"◆","")</x:f>
      </x:c>
      <x:c r="P12" s="130" t="str">
        <x:f>IF(P$2=$C12,"◆","")</x:f>
      </x:c>
      <x:c r="Q12" s="130" t="str">
        <x:f>IF(Q$2=$C12,"◆","")</x:f>
      </x:c>
      <x:c r="R12" s="130" t="str">
        <x:f>IF(R$2=$C12,"◆","")</x:f>
      </x:c>
      <x:c r="S12" s="130" t="str">
        <x:f>IF(S$2=$C12,"◆","")</x:f>
      </x:c>
      <x:c r="T12" s="130" t="str">
        <x:f>IF(T$2=$C12,"◆","")</x:f>
        <x:v>◆</x:v>
      </x:c>
      <x:c r="U12" s="130" t="str">
        <x:f>IF(U$2=$C12,"◆","")</x:f>
      </x:c>
      <x:c r="V12" s="130" t="str">
        <x:f>IF(V$2=$C12,"◆","")</x:f>
      </x:c>
      <x:c r="W12" s="130" t="str">
        <x:f>IF(W$2=$C12,"◆","")</x:f>
      </x:c>
    </x:row>
    <x:row r="13">
      <x:c r="A13" s="60" t="str">
        <x:v>M10</x:v>
      </x:c>
      <x:c r="B13" s="60" t="str">
        <x:v>Staging validado</x:v>
      </x:c>
      <x:c r="C13" s="60" t="n">
        <x:v>16</x:v>
      </x:c>
      <x:c r="D13" s="60" t="str">
        <x:v>Despliegue y smoke tests</x:v>
      </x:c>
      <x:c r="F13" s="130" t="str">
        <x:f>IF(F$2=$C13,"◆","")</x:f>
      </x:c>
      <x:c r="G13" s="130" t="str">
        <x:f>IF(G$2=$C13,"◆","")</x:f>
      </x:c>
      <x:c r="H13" s="130" t="str">
        <x:f>IF(H$2=$C13,"◆","")</x:f>
      </x:c>
      <x:c r="I13" s="130" t="str">
        <x:f>IF(I$2=$C13,"◆","")</x:f>
      </x:c>
      <x:c r="J13" s="130" t="str">
        <x:f>IF(J$2=$C13,"◆","")</x:f>
      </x:c>
      <x:c r="K13" s="130" t="str">
        <x:f>IF(K$2=$C13,"◆","")</x:f>
      </x:c>
      <x:c r="L13" s="130" t="str">
        <x:f>IF(L$2=$C13,"◆","")</x:f>
      </x:c>
      <x:c r="M13" s="130" t="str">
        <x:f>IF(M$2=$C13,"◆","")</x:f>
      </x:c>
      <x:c r="N13" s="130" t="str">
        <x:f>IF(N$2=$C13,"◆","")</x:f>
      </x:c>
      <x:c r="O13" s="130" t="str">
        <x:f>IF(O$2=$C13,"◆","")</x:f>
      </x:c>
      <x:c r="P13" s="130" t="str">
        <x:f>IF(P$2=$C13,"◆","")</x:f>
      </x:c>
      <x:c r="Q13" s="130" t="str">
        <x:f>IF(Q$2=$C13,"◆","")</x:f>
      </x:c>
      <x:c r="R13" s="130" t="str">
        <x:f>IF(R$2=$C13,"◆","")</x:f>
      </x:c>
      <x:c r="S13" s="130" t="str">
        <x:f>IF(S$2=$C13,"◆","")</x:f>
      </x:c>
      <x:c r="T13" s="130" t="str">
        <x:f>IF(T$2=$C13,"◆","")</x:f>
      </x:c>
      <x:c r="U13" s="130" t="str">
        <x:f>IF(U$2=$C13,"◆","")</x:f>
        <x:v>◆</x:v>
      </x:c>
      <x:c r="V13" s="130" t="str">
        <x:f>IF(V$2=$C13,"◆","")</x:f>
      </x:c>
      <x:c r="W13" s="130" t="str">
        <x:f>IF(W$2=$C13,"◆","")</x:f>
      </x:c>
    </x:row>
    <x:row r="14">
      <x:c r="A14" s="60" t="str">
        <x:v>M11</x:v>
      </x:c>
      <x:c r="B14" s="60" t="str">
        <x:v>Preentrega</x:v>
      </x:c>
      <x:c r="C14" s="60" t="n">
        <x:v>17</x:v>
      </x:c>
      <x:c r="D14" s="60" t="str">
        <x:v>Documentación y demo listas</x:v>
      </x:c>
      <x:c r="F14" s="130" t="str">
        <x:f>IF(F$2=$C14,"◆","")</x:f>
      </x:c>
      <x:c r="G14" s="130" t="str">
        <x:f>IF(G$2=$C14,"◆","")</x:f>
      </x:c>
      <x:c r="H14" s="130" t="str">
        <x:f>IF(H$2=$C14,"◆","")</x:f>
      </x:c>
      <x:c r="I14" s="130" t="str">
        <x:f>IF(I$2=$C14,"◆","")</x:f>
      </x:c>
      <x:c r="J14" s="130" t="str">
        <x:f>IF(J$2=$C14,"◆","")</x:f>
      </x:c>
      <x:c r="K14" s="130" t="str">
        <x:f>IF(K$2=$C14,"◆","")</x:f>
      </x:c>
      <x:c r="L14" s="130" t="str">
        <x:f>IF(L$2=$C14,"◆","")</x:f>
      </x:c>
      <x:c r="M14" s="130" t="str">
        <x:f>IF(M$2=$C14,"◆","")</x:f>
      </x:c>
      <x:c r="N14" s="130" t="str">
        <x:f>IF(N$2=$C14,"◆","")</x:f>
      </x:c>
      <x:c r="O14" s="130" t="str">
        <x:f>IF(O$2=$C14,"◆","")</x:f>
      </x:c>
      <x:c r="P14" s="130" t="str">
        <x:f>IF(P$2=$C14,"◆","")</x:f>
      </x:c>
      <x:c r="Q14" s="130" t="str">
        <x:f>IF(Q$2=$C14,"◆","")</x:f>
      </x:c>
      <x:c r="R14" s="130" t="str">
        <x:f>IF(R$2=$C14,"◆","")</x:f>
      </x:c>
      <x:c r="S14" s="130" t="str">
        <x:f>IF(S$2=$C14,"◆","")</x:f>
      </x:c>
      <x:c r="T14" s="130" t="str">
        <x:f>IF(T$2=$C14,"◆","")</x:f>
      </x:c>
      <x:c r="U14" s="130" t="str">
        <x:f>IF(U$2=$C14,"◆","")</x:f>
      </x:c>
      <x:c r="V14" s="130" t="str">
        <x:f>IF(V$2=$C14,"◆","")</x:f>
        <x:v>◆</x:v>
      </x:c>
      <x:c r="W14" s="130" t="str">
        <x:f>IF(W$2=$C14,"◆","")</x:f>
      </x:c>
    </x:row>
    <x:row r="15">
      <x:c r="A15" s="60" t="str">
        <x:v>M12</x:v>
      </x:c>
      <x:c r="B15" s="60" t="str">
        <x:v>Cierre</x:v>
      </x:c>
      <x:c r="C15" s="60" t="n">
        <x:v>18</x:v>
      </x:c>
      <x:c r="D15" s="60" t="str">
        <x:v>Entrega final</x:v>
      </x:c>
      <x:c r="F15" s="130" t="str">
        <x:f>IF(F$2=$C15,"◆","")</x:f>
      </x:c>
      <x:c r="G15" s="130" t="str">
        <x:f>IF(G$2=$C15,"◆","")</x:f>
      </x:c>
      <x:c r="H15" s="130" t="str">
        <x:f>IF(H$2=$C15,"◆","")</x:f>
      </x:c>
      <x:c r="I15" s="130" t="str">
        <x:f>IF(I$2=$C15,"◆","")</x:f>
      </x:c>
      <x:c r="J15" s="130" t="str">
        <x:f>IF(J$2=$C15,"◆","")</x:f>
      </x:c>
      <x:c r="K15" s="130" t="str">
        <x:f>IF(K$2=$C15,"◆","")</x:f>
      </x:c>
      <x:c r="L15" s="130" t="str">
        <x:f>IF(L$2=$C15,"◆","")</x:f>
      </x:c>
      <x:c r="M15" s="130" t="str">
        <x:f>IF(M$2=$C15,"◆","")</x:f>
      </x:c>
      <x:c r="N15" s="130" t="str">
        <x:f>IF(N$2=$C15,"◆","")</x:f>
      </x:c>
      <x:c r="O15" s="130" t="str">
        <x:f>IF(O$2=$C15,"◆","")</x:f>
      </x:c>
      <x:c r="P15" s="130" t="str">
        <x:f>IF(P$2=$C15,"◆","")</x:f>
      </x:c>
      <x:c r="Q15" s="130" t="str">
        <x:f>IF(Q$2=$C15,"◆","")</x:f>
      </x:c>
      <x:c r="R15" s="130" t="str">
        <x:f>IF(R$2=$C15,"◆","")</x:f>
      </x:c>
      <x:c r="S15" s="130" t="str">
        <x:f>IF(S$2=$C15,"◆","")</x:f>
      </x:c>
      <x:c r="T15" s="130" t="str">
        <x:f>IF(T$2=$C15,"◆","")</x:f>
      </x:c>
      <x:c r="U15" s="130" t="str">
        <x:f>IF(U$2=$C15,"◆","")</x:f>
      </x:c>
      <x:c r="V15" s="130" t="str">
        <x:f>IF(V$2=$C15,"◆","")</x:f>
      </x:c>
      <x:c r="W15" s="130" t="str">
        <x:f>IF(W$2=$C15,"◆","")</x:f>
        <x:v>◆</x:v>
      </x:c>
    </x:row>
  </x:sheetData>
  <x:mergeCells>
    <x:mergeCell ref="A1:W1"/>
  </x:mergeCells>
  <x:conditionalFormatting sqref="F4:W15">
    <x:cfRule type="expression" dxfId="11" priority="1">
      <x:formula>F4="◆"</x:formula>
    </x:cfRule>
  </x:conditionalFormatting>
  <x:pageMargins left="0.7" right="0.7" top="0.75" bottom="0.75" header="0.3" footer="0.3"/>
</x:worksheet>
</file>